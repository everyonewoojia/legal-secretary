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功能测试用例常用测试项" sheetId="3" state="visible" r:id="rId3"/>
  </sheets>
  <definedNames>
    <definedName name="安装测试用例常用测试项">功能测试用例常用测试项!$A$87</definedName>
    <definedName name="单元测试用例常用测试项">功能测试用例常用测试项!$A$77</definedName>
    <definedName name="功能测试用例常用测试项">功能测试用例常用测试项!$A$10</definedName>
    <definedName name="界面测试用例常用测试项">功能测试用例常用测试项!$A$101</definedName>
    <definedName name="压力测试用例常用测试项">功能测试用例常用测试项!$A$133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\.mm\.dd"/>
  </numFmts>
  <fonts count="31">
    <font>
      <name val="宋体"/>
      <charset val="134"/>
      <sz val="12"/>
    </font>
    <font>
      <name val="宋体"/>
      <charset val="134"/>
      <sz val="10.5"/>
    </font>
    <font>
      <name val="宋体"/>
      <charset val="134"/>
      <color indexed="12"/>
      <sz val="11"/>
    </font>
    <font>
      <name val="宋体"/>
      <charset val="134"/>
      <sz val="10"/>
    </font>
    <font>
      <name val="宋体"/>
      <charset val="134"/>
      <color indexed="12"/>
      <sz val="10"/>
      <u val="single"/>
    </font>
    <font>
      <name val="Times New Roman"/>
      <family val="1"/>
      <sz val="12"/>
    </font>
    <font>
      <name val="宋体"/>
      <charset val="134"/>
      <b val="1"/>
      <sz val="20"/>
    </font>
    <font>
      <name val="Times New Roman"/>
      <family val="1"/>
      <b val="1"/>
      <sz val="12"/>
    </font>
    <font>
      <name val="Times New Roman"/>
      <family val="1"/>
      <sz val="11"/>
    </font>
    <font>
      <name val="宋体"/>
      <charset val="134"/>
      <sz val="11"/>
    </font>
    <font>
      <name val="Times New Roman"/>
      <family val="1"/>
      <color indexed="48"/>
      <sz val="12"/>
    </font>
    <font>
      <name val="华文细黑"/>
      <charset val="134"/>
      <family val="3"/>
      <sz val="20"/>
    </font>
    <font>
      <name val="华文细黑"/>
      <charset val="134"/>
      <family val="3"/>
      <color indexed="48"/>
      <sz val="20"/>
    </font>
    <font>
      <name val="Times New Roman"/>
      <family val="1"/>
      <color indexed="48"/>
      <sz val="10.5"/>
    </font>
    <font>
      <name val="宋体"/>
      <charset val="134"/>
      <color indexed="12"/>
      <sz val="12"/>
      <u val="single"/>
    </font>
    <font>
      <name val="Times New Roman"/>
      <family val="1"/>
      <b val="1"/>
      <sz val="20"/>
    </font>
    <font>
      <name val="宋体"/>
      <charset val="134"/>
      <b val="1"/>
      <sz val="12"/>
    </font>
    <font>
      <name val="Times New Roman"/>
      <family val="1"/>
      <color indexed="62"/>
      <sz val="12"/>
    </font>
    <font>
      <name val="宋体"/>
      <charset val="134"/>
      <color indexed="48"/>
      <sz val="12"/>
    </font>
    <font>
      <name val="宋体"/>
      <charset val="134"/>
      <sz val="9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color indexed="81"/>
      <sz val="9"/>
    </font>
    <font>
      <name val="宋体"/>
      <charset val="134"/>
      <b val="1"/>
      <color indexed="81"/>
      <sz val="9"/>
    </font>
    <font>
      <name val="宋体"/>
      <charset val="134"/>
      <family val="3"/>
      <color indexed="81"/>
      <sz val="10"/>
    </font>
    <font>
      <name val="宋体"/>
      <charset val="134"/>
      <family val="3"/>
      <color indexed="48"/>
      <sz val="12"/>
    </font>
    <font>
      <name val="Times New Roman"/>
      <sz val="12"/>
    </font>
    <font>
      <name val="华文细黑"/>
      <sz val="20"/>
    </font>
    <font>
      <name val="Times New Roman"/>
      <sz val="10.5"/>
    </font>
    <font>
      <name val="宋体"/>
      <sz val="11"/>
    </font>
    <font>
      <name val="Times New Roman"/>
      <sz val="11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14" fillId="0" borderId="0" applyAlignment="1" applyProtection="1">
      <alignment vertical="top"/>
      <protection locked="0" hidden="0"/>
    </xf>
  </cellStyleXfs>
  <cellXfs count="106">
    <xf numFmtId="0" fontId="0" fillId="0" borderId="0" applyAlignment="1" pivotButton="0" quotePrefix="0" xfId="0">
      <alignment vertical="center"/>
    </xf>
    <xf numFmtId="0" fontId="1" fillId="6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4" fillId="6" borderId="0" applyAlignment="1" pivotButton="0" quotePrefix="0" xfId="1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center" wrapText="1"/>
    </xf>
    <xf numFmtId="9" fontId="1" fillId="6" borderId="1" applyAlignment="1" pivotButton="0" quotePrefix="0" xfId="0">
      <alignment vertical="center" wrapText="1"/>
    </xf>
    <xf numFmtId="0" fontId="5" fillId="3" borderId="1" applyAlignment="1" applyProtection="1" pivotButton="0" quotePrefix="0" xfId="0">
      <alignment wrapText="1"/>
      <protection locked="0" hidden="0"/>
    </xf>
    <xf numFmtId="0" fontId="5" fillId="3" borderId="1" applyAlignment="1" applyProtection="1" pivotButton="0" quotePrefix="0" xfId="0">
      <alignment horizontal="center" wrapText="1"/>
      <protection locked="0" hidden="0"/>
    </xf>
    <xf numFmtId="0" fontId="5" fillId="0" borderId="0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8" fillId="3" borderId="1" applyAlignment="1" applyProtection="1" pivotButton="0" quotePrefix="0" xfId="0">
      <alignment wrapText="1"/>
      <protection locked="0" hidden="0"/>
    </xf>
    <xf numFmtId="0" fontId="9" fillId="3" borderId="1" applyAlignment="1" applyProtection="1" pivotButton="0" quotePrefix="0" xfId="0">
      <alignment wrapText="1"/>
      <protection locked="0" hidden="0"/>
    </xf>
    <xf numFmtId="0" fontId="9" fillId="3" borderId="1" applyAlignment="1" applyProtection="1" pivotButton="0" quotePrefix="0" xfId="0">
      <alignment horizontal="center" wrapText="1"/>
      <protection locked="0" hidden="0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0" borderId="9" pivotButton="0" quotePrefix="0" xfId="0"/>
    <xf numFmtId="0" fontId="0" fillId="6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6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center"/>
    </xf>
    <xf numFmtId="49" fontId="10" fillId="0" borderId="5" applyAlignment="1" pivotButton="0" quotePrefix="0" xfId="0">
      <alignment horizontal="center" vertical="center" wrapText="1"/>
    </xf>
    <xf numFmtId="0" fontId="0" fillId="6" borderId="13" applyAlignment="1" pivotButton="0" quotePrefix="0" xfId="0">
      <alignment vertical="center"/>
    </xf>
    <xf numFmtId="0" fontId="5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wrapText="1"/>
    </xf>
    <xf numFmtId="0" fontId="10" fillId="3" borderId="1" applyAlignment="1" pivotButton="0" quotePrefix="0" xfId="0">
      <alignment horizontal="centerContinuous" vertical="center"/>
    </xf>
    <xf numFmtId="49" fontId="5" fillId="3" borderId="1" applyAlignment="1" pivotButton="0" quotePrefix="0" xfId="0">
      <alignment horizontal="centerContinuous" vertical="center"/>
    </xf>
    <xf numFmtId="0" fontId="10" fillId="3" borderId="1" applyAlignment="1" pivotButton="0" quotePrefix="0" xfId="0">
      <alignment vertical="center"/>
    </xf>
    <xf numFmtId="0" fontId="5" fillId="6" borderId="0" pivotButton="0" quotePrefix="0" xfId="0"/>
    <xf numFmtId="0" fontId="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12" pivotButton="0" quotePrefix="0" xfId="0"/>
    <xf numFmtId="0" fontId="5" fillId="2" borderId="1" applyAlignment="1" pivotButton="0" quotePrefix="0" xfId="0">
      <alignment horizontal="center"/>
    </xf>
    <xf numFmtId="10" fontId="5" fillId="2" borderId="1" applyAlignment="1" pivotButton="0" quotePrefix="0" xfId="0">
      <alignment horizontal="center"/>
    </xf>
    <xf numFmtId="0" fontId="0" fillId="6" borderId="14" applyAlignment="1" pivotButton="0" quotePrefix="0" xfId="0">
      <alignment vertical="center"/>
    </xf>
    <xf numFmtId="0" fontId="0" fillId="6" borderId="15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4" fillId="0" borderId="9" applyAlignment="1" pivotButton="0" quotePrefix="0" xfId="1">
      <alignment vertical="center"/>
    </xf>
    <xf numFmtId="0" fontId="20" fillId="5" borderId="1" applyAlignment="1" pivotButton="0" quotePrefix="0" xfId="0">
      <alignment horizontal="center" wrapText="1"/>
    </xf>
    <xf numFmtId="0" fontId="20" fillId="5" borderId="1" applyAlignment="1" pivotButton="0" quotePrefix="0" xfId="0">
      <alignment horizontal="centerContinuous" wrapText="1"/>
    </xf>
    <xf numFmtId="49" fontId="25" fillId="3" borderId="1" applyAlignment="1" pivotButton="0" quotePrefix="0" xfId="0">
      <alignment horizontal="centerContinuous" vertical="center"/>
    </xf>
    <xf numFmtId="0" fontId="25" fillId="3" borderId="1" applyAlignment="1" pivotButton="0" quotePrefix="0" xfId="0">
      <alignment horizontal="centerContinuous" vertical="center"/>
    </xf>
    <xf numFmtId="164" fontId="5" fillId="3" borderId="5" applyAlignment="1" pivotButton="0" quotePrefix="0" xfId="0">
      <alignment vertical="center"/>
    </xf>
    <xf numFmtId="164" fontId="10" fillId="3" borderId="5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5" fillId="5" borderId="5" applyAlignment="1" pivotButton="0" quotePrefix="0" xfId="0">
      <alignment horizontal="center" wrapText="1"/>
    </xf>
    <xf numFmtId="0" fontId="25" fillId="3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0" fillId="6" borderId="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/>
    </xf>
    <xf numFmtId="0" fontId="5" fillId="5" borderId="7" applyAlignment="1" pivotButton="0" quotePrefix="0" xfId="0">
      <alignment horizontal="center"/>
    </xf>
    <xf numFmtId="0" fontId="6" fillId="0" borderId="8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1" fillId="6" borderId="2" applyAlignment="1" pivotButton="0" quotePrefix="0" xfId="0">
      <alignment horizontal="left" vertical="center" wrapText="1"/>
    </xf>
    <xf numFmtId="0" fontId="1" fillId="6" borderId="3" applyAlignment="1" pivotButton="0" quotePrefix="0" xfId="0">
      <alignment horizontal="left" vertical="center" wrapText="1"/>
    </xf>
    <xf numFmtId="0" fontId="1" fillId="6" borderId="4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left" vertical="center" wrapText="1"/>
    </xf>
    <xf numFmtId="0" fontId="1" fillId="6" borderId="6" applyAlignment="1" pivotButton="0" quotePrefix="0" xfId="0">
      <alignment horizontal="left" vertical="center" wrapText="1"/>
    </xf>
    <xf numFmtId="0" fontId="1" fillId="6" borderId="7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26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top" wrapText="1"/>
    </xf>
    <xf numFmtId="0" fontId="28" fillId="0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/>
    </xf>
    <xf numFmtId="164" fontId="10" fillId="3" borderId="5" applyAlignment="1" pivotButton="0" quotePrefix="0" xfId="0">
      <alignment vertical="center"/>
    </xf>
    <xf numFmtId="49" fontId="29" fillId="3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Continuous" vertical="center" wrapText="1"/>
    </xf>
    <xf numFmtId="0" fontId="30" fillId="3" borderId="1" applyAlignment="1" pivotButton="0" quotePrefix="0" xfId="0">
      <alignment horizontal="center" vertical="center" wrapText="1"/>
    </xf>
    <xf numFmtId="164" fontId="5" fillId="3" borderId="5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29" fillId="3" borderId="18" applyAlignment="1" applyProtection="1" pivotButton="0" quotePrefix="0" xfId="0">
      <alignment vertical="top" wrapText="1"/>
      <protection locked="0" hidden="0"/>
    </xf>
    <xf numFmtId="0" fontId="29" fillId="3" borderId="18" applyAlignment="1" applyProtection="1" pivotButton="0" quotePrefix="0" xfId="0">
      <alignment horizontal="center" vertical="top" wrapText="1"/>
      <protection locked="0" hidden="0"/>
    </xf>
    <xf numFmtId="0" fontId="0" fillId="0" borderId="3" pivotButton="0" quotePrefix="0" xfId="0"/>
    <xf numFmtId="0" fontId="0" fillId="0" borderId="4" pivotButton="0" quotePrefix="0" xfId="0"/>
    <xf numFmtId="0" fontId="29" fillId="0" borderId="18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孙剑桥</author>
  </authors>
  <commentList>
    <comment ref="B10" authorId="0" shapeId="0">
      <text>
        <t>孙剑桥:
测试计划的目的
（1）为测试各项活动制定一个现实可行的、综合的计划，包括每项测试活动的对象、范围、方法、进度和预期结果。
（2）为项目实施建立一个组织模型，并定义测试项目中每个角色的责任和工作内容。
（3）开发有效的测试模型，能正确地验证正在开发的软件系统。
（4）确定测试所需要的时间和资源，以保证其可获得性、有效性。
（5）确立每个测试阶段测试完成以及测试成功的标准、要实现的目标。
（6）识别出测试活动中各种风险，并消除可能存在的风险，降低由不可能消除的风险所带来的损失。</t>
      </text>
    </comment>
    <comment ref="C11" authorId="0" shapeId="0">
      <text>
        <t>孙剑桥:
软件需求分析
软件概要设计
软件详细设计
软件运行环境
可运行程序
软件源代码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tabSelected="1" workbookViewId="0">
      <selection activeCell="I4" sqref="I4"/>
    </sheetView>
  </sheetViews>
  <sheetFormatPr baseColWidth="8" defaultColWidth="9" defaultRowHeight="15.6"/>
  <cols>
    <col width="7.69921875" customWidth="1" style="17" min="1" max="1"/>
    <col width="12.09765625" bestFit="1" customWidth="1" style="18" min="2" max="2"/>
    <col width="15.69921875" customWidth="1" style="18" min="3" max="3"/>
    <col width="24.19921875" customWidth="1" style="18" min="4" max="4"/>
    <col width="24.5" customWidth="1" style="18" min="5" max="5"/>
    <col width="30.09765625" customWidth="1" style="18" min="6" max="6"/>
    <col width="17.19921875" customWidth="1" style="18" min="7" max="7"/>
    <col width="9" customWidth="1" style="18" min="8" max="16384"/>
  </cols>
  <sheetData>
    <row r="1" ht="51" customHeight="1" s="84">
      <c r="A1" s="19" t="n"/>
      <c r="B1" s="55" t="n"/>
      <c r="C1" s="85" t="n"/>
      <c r="D1" s="85" t="n"/>
      <c r="E1" s="85" t="n"/>
      <c r="F1" s="86" t="n"/>
      <c r="G1" s="20" t="n"/>
    </row>
    <row r="2" ht="31.5" customHeight="1" s="84">
      <c r="A2" s="21" t="n"/>
      <c r="B2" s="51" t="inlineStr">
        <is>
          <t>项目名称
Project Name</t>
        </is>
      </c>
      <c r="C2" s="85" t="n"/>
      <c r="D2" s="85" t="n"/>
      <c r="E2" s="57" t="inlineStr">
        <is>
          <t>密级
Confidentiality Level</t>
        </is>
      </c>
      <c r="F2" s="86" t="n"/>
      <c r="G2" s="23" t="n"/>
    </row>
    <row r="3" ht="23.25" customHeight="1" s="84">
      <c r="A3" s="21" t="n"/>
      <c r="B3" s="87" t="inlineStr">
        <is>
          <t>法务小秘 AI合同起草与谈判辅助系统</t>
        </is>
      </c>
      <c r="C3" s="85" t="n"/>
      <c r="D3" s="86" t="n"/>
      <c r="E3" s="65" t="inlineStr">
        <is>
          <t>仅供收件方查阅</t>
        </is>
      </c>
      <c r="F3" s="86" t="n"/>
      <c r="G3" s="23" t="n"/>
    </row>
    <row r="4" ht="31.2" customHeight="1" s="84">
      <c r="A4" s="21" t="n"/>
      <c r="B4" s="57" t="inlineStr">
        <is>
          <t>项目编号
Project ID</t>
        </is>
      </c>
      <c r="C4" s="86" t="n"/>
      <c r="D4" s="51" t="inlineStr">
        <is>
          <t>版本
version</t>
        </is>
      </c>
      <c r="E4" s="65" t="inlineStr">
        <is>
          <t>文档编号
Document Code</t>
        </is>
      </c>
      <c r="F4" s="86" t="n"/>
      <c r="G4" s="23" t="n"/>
    </row>
    <row r="5" ht="27.75" customHeight="1" s="84">
      <c r="A5" s="21" t="n"/>
      <c r="B5" s="87" t="inlineStr">
        <is>
          <t>legal-secretary</t>
        </is>
      </c>
      <c r="C5" s="86" t="n"/>
      <c r="D5" s="24" t="inlineStr">
        <is>
          <t>1.0</t>
        </is>
      </c>
      <c r="E5" s="87" t="inlineStr">
        <is>
          <t>legal-secretary_STC_001</t>
        </is>
      </c>
      <c r="F5" s="86" t="n"/>
      <c r="G5" s="23" t="n"/>
    </row>
    <row r="6" ht="101.25" customHeight="1" s="84">
      <c r="A6" s="25" t="n"/>
      <c r="B6" s="88" t="inlineStr">
        <is>
          <t xml:space="preserve">
法务小秘系统测试用例</t>
        </is>
      </c>
      <c r="C6" s="85" t="n"/>
      <c r="D6" s="85" t="n"/>
      <c r="E6" s="85" t="n"/>
      <c r="F6" s="86" t="n"/>
      <c r="G6" s="23" t="n"/>
    </row>
    <row r="7" ht="31.2" customHeight="1" s="84">
      <c r="A7" s="21" t="n"/>
      <c r="B7" s="26" t="inlineStr">
        <is>
          <t>Prepared by 
拟制</t>
        </is>
      </c>
      <c r="C7" s="89" t="inlineStr">
        <is>
          <t>张怀月</t>
        </is>
      </c>
      <c r="D7" s="86" t="n"/>
      <c r="E7" s="26" t="inlineStr">
        <is>
          <t>Date
日期</t>
        </is>
      </c>
      <c r="F7" s="90" t="inlineStr">
        <is>
          <t>2026-06-30</t>
        </is>
      </c>
      <c r="G7" s="23" t="n"/>
    </row>
    <row r="8" ht="31.2" customHeight="1" s="84">
      <c r="A8" s="21" t="n"/>
      <c r="B8" s="26" t="inlineStr">
        <is>
          <t>Reviewed by 
评审人</t>
        </is>
      </c>
      <c r="C8" s="65" t="n"/>
      <c r="D8" s="86" t="n"/>
      <c r="E8" s="26" t="inlineStr">
        <is>
          <t>Date
日期</t>
        </is>
      </c>
      <c r="F8" s="27" t="inlineStr">
        <is>
          <t>yyyy-mm-dd</t>
        </is>
      </c>
      <c r="G8" s="23" t="n"/>
    </row>
    <row r="9" ht="31.2" customHeight="1" s="84">
      <c r="A9" s="21" t="n"/>
      <c r="B9" s="26" t="inlineStr">
        <is>
          <t>Approved by
批准</t>
        </is>
      </c>
      <c r="C9" s="65" t="n"/>
      <c r="D9" s="86" t="n"/>
      <c r="E9" s="26" t="inlineStr">
        <is>
          <t>Date
日期</t>
        </is>
      </c>
      <c r="F9" s="27" t="inlineStr">
        <is>
          <t>yyyy-mm-dd</t>
        </is>
      </c>
      <c r="G9" s="23" t="n"/>
    </row>
    <row r="10" ht="28.5" customHeight="1" s="84">
      <c r="A10" s="21" t="n"/>
      <c r="B10" s="91" t="inlineStr">
        <is>
          <t>基础测试计划</t>
        </is>
      </c>
      <c r="C10" s="85" t="n"/>
      <c r="D10" s="85" t="n"/>
      <c r="E10" s="85" t="n"/>
      <c r="F10" s="86" t="n"/>
      <c r="G10" s="23" t="n"/>
      <c r="H10" s="23" t="n"/>
    </row>
    <row r="11" ht="31.8" customHeight="1" s="84">
      <c r="A11" s="21" t="n"/>
      <c r="B11" s="49" t="inlineStr">
        <is>
          <t xml:space="preserve">Date
 日期 </t>
        </is>
      </c>
      <c r="C11" s="42" t="inlineStr">
        <is>
          <t>测试对象</t>
        </is>
      </c>
      <c r="D11" s="43" t="inlineStr">
        <is>
          <t>测试方法</t>
        </is>
      </c>
      <c r="E11" s="43" t="inlineStr">
        <is>
          <t>进度</t>
        </is>
      </c>
      <c r="F11" s="28" t="inlineStr">
        <is>
          <t>Author
 作者</t>
        </is>
      </c>
      <c r="G11" s="23" t="n"/>
      <c r="H11" s="23" t="n"/>
    </row>
    <row r="12">
      <c r="A12" s="21" t="n"/>
      <c r="B12" s="92" t="n">
        <v>45139</v>
      </c>
      <c r="C12" s="93" t="inlineStr">
        <is>
          <t>前端页面、后端 API、RAG 知识库、合同起草与谈判分析核心流程</t>
        </is>
      </c>
      <c r="D12" s="94" t="inlineStr">
        <is>
          <t>功能测试 / 界面测试 / 部署测试 / 异常测试</t>
        </is>
      </c>
      <c r="E12" s="45" t="n"/>
      <c r="F12" s="95" t="inlineStr">
        <is>
          <t>张怀月</t>
        </is>
      </c>
      <c r="G12" s="23" t="n"/>
      <c r="H12" s="23" t="n"/>
    </row>
    <row r="13">
      <c r="A13" s="21" t="n"/>
      <c r="B13" s="96" t="n"/>
      <c r="C13" s="97" t="n"/>
      <c r="D13" s="30" t="n"/>
      <c r="E13" s="31" t="n"/>
      <c r="F13" s="31" t="n"/>
      <c r="H13" s="23" t="n"/>
    </row>
    <row r="14">
      <c r="A14" s="21" t="n"/>
      <c r="B14" s="96" t="n"/>
      <c r="C14" s="97" t="n"/>
      <c r="D14" s="30" t="n"/>
      <c r="E14" s="31" t="n"/>
      <c r="F14" s="31" t="n"/>
      <c r="H14" s="23" t="n"/>
    </row>
    <row r="15">
      <c r="A15" s="21" t="n"/>
      <c r="B15" s="96" t="n"/>
      <c r="C15" s="97" t="n"/>
      <c r="D15" s="30" t="n"/>
      <c r="E15" s="31" t="n"/>
      <c r="F15" s="31" t="n"/>
      <c r="H15" s="23" t="n"/>
    </row>
    <row r="16">
      <c r="A16" s="21" t="n"/>
      <c r="B16" s="96" t="n"/>
      <c r="C16" s="97" t="n"/>
      <c r="D16" s="30" t="n"/>
      <c r="E16" s="31" t="n"/>
      <c r="F16" s="31" t="n"/>
      <c r="H16" s="23" t="n"/>
    </row>
    <row r="17">
      <c r="A17" s="21" t="n"/>
      <c r="B17" s="96" t="n"/>
      <c r="C17" s="97" t="n"/>
      <c r="D17" s="30" t="n"/>
      <c r="E17" s="31" t="n"/>
      <c r="F17" s="31" t="n"/>
      <c r="H17" s="23" t="n"/>
    </row>
    <row r="18" ht="28.5" customHeight="1" s="84">
      <c r="A18" s="19" t="n"/>
      <c r="B18" s="55" t="inlineStr">
        <is>
          <t>测试结果分析</t>
        </is>
      </c>
      <c r="C18" s="85" t="n"/>
      <c r="D18" s="85" t="n"/>
      <c r="E18" s="85" t="n"/>
      <c r="F18" s="86" t="n"/>
      <c r="G18" s="23" t="n"/>
    </row>
    <row r="19" ht="17.25" customFormat="1" customHeight="1" s="16">
      <c r="A19" s="32" t="n"/>
      <c r="B19" s="98" t="inlineStr">
        <is>
          <t>类别</t>
        </is>
      </c>
      <c r="C19" s="86" t="n"/>
      <c r="D19" s="33" t="inlineStr">
        <is>
          <t>用例数</t>
        </is>
      </c>
      <c r="E19" s="34" t="inlineStr">
        <is>
          <t>通过数</t>
        </is>
      </c>
      <c r="F19" s="33" t="inlineStr">
        <is>
          <t>通过率</t>
        </is>
      </c>
      <c r="G19" s="35" t="n"/>
      <c r="H19" s="18" t="n"/>
      <c r="I19" s="18" t="n"/>
    </row>
    <row r="20" ht="17.25" customFormat="1" customHeight="1" s="16">
      <c r="A20" s="32" t="n"/>
      <c r="B20" s="98" t="inlineStr">
        <is>
          <t>单元测试</t>
        </is>
      </c>
      <c r="C20" s="86" t="n"/>
      <c r="D20" s="36">
        <f>COUNTIF('Test Cases'!C:C,B20)</f>
        <v/>
      </c>
      <c r="E20" s="36">
        <f>SUMPRODUCT(('Test Cases'!C:C=B20)*('Test Cases'!K:K="Y"))</f>
        <v/>
      </c>
      <c r="F20" s="37">
        <f>IF(D20,E20/D20,0)</f>
        <v/>
      </c>
      <c r="G20" s="35" t="n"/>
      <c r="H20" s="18" t="n"/>
      <c r="I20" s="18" t="n"/>
    </row>
    <row r="21" ht="17.25" customFormat="1" customHeight="1" s="16">
      <c r="A21" s="32" t="n"/>
      <c r="B21" s="98" t="inlineStr">
        <is>
          <t>功能测试</t>
        </is>
      </c>
      <c r="C21" s="86" t="n"/>
      <c r="D21" s="36">
        <f>COUNTIF('Test Cases'!C:C,B21)</f>
        <v/>
      </c>
      <c r="E21" s="36">
        <f>SUMPRODUCT(('Test Cases'!C:C=B21)*('Test Cases'!K:K="Y"))</f>
        <v/>
      </c>
      <c r="F21" s="37">
        <f>IF(D21,E21/D21,0)</f>
        <v/>
      </c>
      <c r="G21" s="35" t="n"/>
      <c r="H21" s="18" t="n"/>
      <c r="I21" s="18" t="n"/>
    </row>
    <row r="22" ht="17.25" customFormat="1" customHeight="1" s="16">
      <c r="A22" s="32" t="n"/>
      <c r="B22" s="98" t="inlineStr">
        <is>
          <t>界面测试</t>
        </is>
      </c>
      <c r="C22" s="86" t="n"/>
      <c r="D22" s="36">
        <f>COUNTIF('Test Cases'!C:C,B22)</f>
        <v/>
      </c>
      <c r="E22" s="36">
        <f>SUMPRODUCT(('Test Cases'!C:C=B22)*('Test Cases'!K:K="Y"))</f>
        <v/>
      </c>
      <c r="F22" s="37">
        <f>IF(D22,E22/D22,0)</f>
        <v/>
      </c>
      <c r="G22" s="35" t="n"/>
      <c r="H22" s="18" t="n"/>
      <c r="I22" s="18" t="n"/>
    </row>
    <row r="23" ht="17.25" customFormat="1" customHeight="1" s="16">
      <c r="A23" s="32" t="n"/>
      <c r="B23" s="98" t="inlineStr">
        <is>
          <t>压力测试</t>
        </is>
      </c>
      <c r="C23" s="86" t="n"/>
      <c r="D23" s="36">
        <f>COUNTIF('Test Cases'!C:C,B23)</f>
        <v/>
      </c>
      <c r="E23" s="36">
        <f>SUMPRODUCT(('Test Cases'!C:C=B23)*('Test Cases'!K:K="Y"))</f>
        <v/>
      </c>
      <c r="F23" s="37">
        <f>IF(D23,E23/D23,0)</f>
        <v/>
      </c>
      <c r="G23" s="35" t="n"/>
    </row>
    <row r="24" ht="17.25" customFormat="1" customHeight="1" s="16">
      <c r="A24" s="32" t="n"/>
      <c r="B24" s="98" t="inlineStr">
        <is>
          <t>部署测试</t>
        </is>
      </c>
      <c r="C24" s="86" t="n"/>
      <c r="D24" s="36">
        <f>COUNTIF('Test Cases'!C:C,B24)</f>
        <v/>
      </c>
      <c r="E24" s="36">
        <f>SUMPRODUCT(('Test Cases'!C:C=B24)*('Test Cases'!K:K="Y"))</f>
        <v/>
      </c>
      <c r="F24" s="37">
        <f>IF(D24,E24/D24,0)</f>
        <v/>
      </c>
      <c r="G24" s="35" t="n"/>
    </row>
    <row r="25" ht="16.2" customHeight="1" s="84">
      <c r="A25" s="38" t="n"/>
      <c r="B25" s="98" t="inlineStr">
        <is>
          <t>合计</t>
        </is>
      </c>
      <c r="C25" s="86" t="n"/>
      <c r="D25" s="36">
        <f>SUM(D20:D24)</f>
        <v/>
      </c>
      <c r="E25" s="36">
        <f>COUNTIF('Test Cases'!K:K,"Y")</f>
        <v/>
      </c>
      <c r="F25" s="37">
        <f>IF(D25,E25/D25,0)</f>
        <v/>
      </c>
      <c r="G25" s="23" t="n"/>
    </row>
    <row r="26">
      <c r="A26" s="39" t="n"/>
      <c r="B26" s="40" t="n"/>
      <c r="C26" s="40" t="n"/>
      <c r="D26" s="40" t="n"/>
      <c r="E26" s="40" t="n"/>
      <c r="F26" s="40" t="n"/>
      <c r="G26" s="40" t="n"/>
    </row>
    <row r="27">
      <c r="A27" s="39" t="n"/>
      <c r="B27" s="40" t="n"/>
      <c r="C27" s="40" t="n"/>
      <c r="D27" s="40" t="n"/>
      <c r="E27" s="40" t="n"/>
      <c r="F27" s="40" t="n"/>
      <c r="G27" s="40" t="n"/>
    </row>
    <row r="28">
      <c r="A28" s="39" t="n"/>
      <c r="B28" s="40" t="n"/>
      <c r="C28" s="40" t="n"/>
      <c r="D28" s="40" t="n"/>
      <c r="E28" s="40" t="n"/>
      <c r="F28" s="40" t="n"/>
      <c r="G28" s="40" t="n"/>
    </row>
    <row r="29">
      <c r="B29" s="41" t="inlineStr">
        <is>
          <t>测试用例详情</t>
        </is>
      </c>
      <c r="C29" s="41" t="n"/>
      <c r="D29" s="41" t="n"/>
    </row>
    <row r="30">
      <c r="B30" s="41" t="inlineStr">
        <is>
          <t>文档帮助</t>
        </is>
      </c>
      <c r="C30" s="41" t="n"/>
      <c r="D30" s="41" t="n"/>
      <c r="E30" s="16" t="n"/>
      <c r="F30" s="16" t="n"/>
    </row>
    <row r="31">
      <c r="E31" s="16" t="n"/>
      <c r="F31" s="16" t="n"/>
    </row>
    <row r="32">
      <c r="E32" s="16" t="n"/>
      <c r="F32" s="16" t="n"/>
    </row>
    <row r="33">
      <c r="E33" s="16" t="n"/>
      <c r="F33" s="16" t="n"/>
    </row>
    <row r="34">
      <c r="E34" s="16" t="n"/>
      <c r="F34" s="16" t="n"/>
    </row>
  </sheetData>
  <mergeCells count="22">
    <mergeCell ref="B25:C25"/>
    <mergeCell ref="E5:F5"/>
    <mergeCell ref="B22:C22"/>
    <mergeCell ref="B18:F18"/>
    <mergeCell ref="E4:F4"/>
    <mergeCell ref="B21:C21"/>
    <mergeCell ref="B23:C23"/>
    <mergeCell ref="B2:D2"/>
    <mergeCell ref="B1:F1"/>
    <mergeCell ref="C9:D9"/>
    <mergeCell ref="E2:F2"/>
    <mergeCell ref="B19:C19"/>
    <mergeCell ref="B10:F10"/>
    <mergeCell ref="C8:D8"/>
    <mergeCell ref="B24:C24"/>
    <mergeCell ref="B3:D3"/>
    <mergeCell ref="B6:F6"/>
    <mergeCell ref="C7:D7"/>
    <mergeCell ref="B5:C5"/>
    <mergeCell ref="B20:C20"/>
    <mergeCell ref="B4:C4"/>
    <mergeCell ref="E3:F3"/>
  </mergeCells>
  <hyperlinks>
    <hyperlink ref="B29" location="'Test Cases'!A1" display="测试用例详情"/>
    <hyperlink ref="B30" location="功能测试用例常用测试项!A1" display="文档帮助"/>
  </hyperlink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05"/>
  <sheetViews>
    <sheetView workbookViewId="0">
      <pane xSplit="18615" activePane="topRight" state="split"/>
      <selection activeCell="F5" sqref="F5"/>
      <selection pane="topRight" activeCell="A1" sqref="A1:N3"/>
    </sheetView>
  </sheetViews>
  <sheetFormatPr baseColWidth="8" defaultColWidth="13.09765625" defaultRowHeight="15.6"/>
  <cols>
    <col width="13.69921875" customWidth="1" style="7" min="1" max="1"/>
    <col width="9.09765625" customWidth="1" style="7" min="2" max="2"/>
    <col width="9.19921875" customWidth="1" style="7" min="3" max="3"/>
    <col width="17.69921875" customWidth="1" style="7" min="4" max="4"/>
    <col width="12.69921875" customWidth="1" style="8" min="5" max="5"/>
    <col width="16.5" customWidth="1" style="7" min="6" max="6"/>
    <col width="16.69921875" customWidth="1" style="7" min="7" max="7"/>
    <col width="17.3984375" customWidth="1" style="7" min="8" max="8"/>
    <col width="14.5" customWidth="1" style="7" min="9" max="9"/>
    <col width="15" customWidth="1" style="7" min="10" max="10"/>
    <col width="8.8984375" customWidth="1" style="7" min="11" max="11"/>
    <col width="16.5" customWidth="1" style="7" min="12" max="12"/>
    <col hidden="1" width="5" customWidth="1" style="9" min="13" max="13"/>
    <col width="21.5" customWidth="1" style="7" min="14" max="14"/>
    <col width="13.09765625" customWidth="1" style="9" min="15" max="40"/>
    <col width="13.19921875" customWidth="1" style="9" min="41" max="41"/>
    <col hidden="1" width="4.3984375" customWidth="1" style="9" min="42" max="42"/>
    <col width="13.09765625" customWidth="1" style="9" min="43" max="16384"/>
  </cols>
  <sheetData>
    <row r="1" ht="19.5" customHeight="1" s="84">
      <c r="A1" s="71" t="inlineStr">
        <is>
          <t xml:space="preserve">测试用例 </t>
        </is>
      </c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</row>
    <row r="2" ht="15.75" customHeight="1" s="84">
      <c r="A2" s="100" t="n"/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</row>
    <row r="3" ht="15.75" customHeight="1" s="84">
      <c r="A3" s="100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99" t="n"/>
    </row>
    <row r="4" ht="48" customHeight="1" s="84">
      <c r="A4" s="10" t="inlineStr">
        <is>
          <t>Test Case ID
 测试用例编号</t>
        </is>
      </c>
      <c r="B4" s="10" t="inlineStr">
        <is>
          <t>Test Item 
测试项</t>
        </is>
      </c>
      <c r="C4" s="10" t="inlineStr">
        <is>
          <t>Test Type
测试类型</t>
        </is>
      </c>
      <c r="D4" s="10" t="inlineStr">
        <is>
          <t>Test Case Title 
测试用例标题</t>
        </is>
      </c>
      <c r="E4" s="10" t="inlineStr">
        <is>
          <t>Test Criticality
测试优先级</t>
        </is>
      </c>
      <c r="F4" s="10" t="inlineStr">
        <is>
          <t>Pre-condition
 预置条件</t>
        </is>
      </c>
      <c r="G4" s="10" t="inlineStr">
        <is>
          <t>Input 
输入</t>
        </is>
      </c>
      <c r="H4" s="10" t="inlineStr">
        <is>
          <t>Procedure 
操作步骤</t>
        </is>
      </c>
      <c r="I4" s="10" t="inlineStr">
        <is>
          <t>Output
 预期结果</t>
        </is>
      </c>
      <c r="J4" s="10" t="inlineStr">
        <is>
          <t>Result
实际结果</t>
        </is>
      </c>
      <c r="K4" s="10" t="inlineStr">
        <is>
          <t>Status
是否通过</t>
        </is>
      </c>
      <c r="L4" s="10" t="inlineStr">
        <is>
          <t>BUG Severity
错误严重等级</t>
        </is>
      </c>
      <c r="N4" s="10" t="inlineStr">
        <is>
          <t>Remark
 备注</t>
        </is>
      </c>
    </row>
    <row r="5" ht="100.8" customHeight="1" s="84">
      <c r="A5" s="101" t="inlineStr">
        <is>
          <t>legal-secretary-testcase-001</t>
        </is>
      </c>
      <c r="B5" s="101" t="inlineStr">
        <is>
          <t>环境部署与启动</t>
        </is>
      </c>
      <c r="C5" s="102" t="inlineStr">
        <is>
          <t>部署测试</t>
        </is>
      </c>
      <c r="D5" s="101" t="inlineStr">
        <is>
          <t>验证后端服务正常启动</t>
        </is>
      </c>
      <c r="E5" s="102" t="inlineStr">
        <is>
          <t>高</t>
        </is>
      </c>
      <c r="F5" s="101" t="inlineStr">
        <is>
          <t>项目代码已完整克隆到本地；Python 3.10+ 已安装；虚拟环境依赖已安装（requirements.txt）；无其他进程占用 8000 端口</t>
        </is>
      </c>
      <c r="G5" s="101" t="inlineStr">
        <is>
          <t>无</t>
        </is>
      </c>
      <c r="H5" s="101" t="inlineStr">
        <is>
          <t>1. 在项目根目录打开终端
2. 执行：PYTHONPATH=backend python -m uvicorn app.main:app --reload --host 0.0.0.0 --port 8000
3. 观察终端输出</t>
        </is>
      </c>
      <c r="I5" s="101" t="inlineStr">
        <is>
          <t>终端输出 "Uvicorn running on http://0.0.0.0:8000"，或后端服务在 8000 端口正常启动；出现 Application startup complete，无报错退出</t>
        </is>
      </c>
      <c r="J5" s="101" t="n"/>
      <c r="K5" s="101" t="n"/>
      <c r="L5" s="101" t="n"/>
      <c r="M5" s="14" t="n"/>
      <c r="N5" s="101" t="inlineStr">
        <is>
          <t>待最终人工测试填写</t>
        </is>
      </c>
    </row>
    <row r="6" ht="87" customHeight="1" s="84">
      <c r="A6" s="101" t="inlineStr">
        <is>
          <t>legal-secretary-testcase-002</t>
        </is>
      </c>
      <c r="B6" s="101" t="inlineStr">
        <is>
          <t>环境部署与启动</t>
        </is>
      </c>
      <c r="C6" s="102" t="inlineStr">
        <is>
          <t>部署测试</t>
        </is>
      </c>
      <c r="D6" s="101" t="inlineStr">
        <is>
          <t>验证前端服务正常启动</t>
        </is>
      </c>
      <c r="E6" s="102" t="inlineStr">
        <is>
          <t>高</t>
        </is>
      </c>
      <c r="F6" s="101" t="inlineStr">
        <is>
          <t>后端服务已在 8000 端口正常运行；Node.js 18+ 已安装；frontend 目录下 node_modules 已安装（npm install 已完成）</t>
        </is>
      </c>
      <c r="G6" s="101" t="inlineStr">
        <is>
          <t>无</t>
        </is>
      </c>
      <c r="H6" s="101" t="inlineStr">
        <is>
          <t>1. 进入 frontend 目录
2. 执行：npm run dev -- --host 0.0.0.0
3. 观察终端输出</t>
        </is>
      </c>
      <c r="I6" s="101" t="inlineStr">
        <is>
          <t>终端输出 "Local: http://localhost:5173/"，无编译报错</t>
        </is>
      </c>
      <c r="J6" s="101" t="n"/>
      <c r="K6" s="101" t="n"/>
      <c r="L6" s="101" t="n"/>
      <c r="M6" s="14" t="n"/>
      <c r="N6" s="101" t="inlineStr">
        <is>
          <t>待最终人工测试填写</t>
        </is>
      </c>
    </row>
    <row r="7" ht="72.59999999999999" customHeight="1" s="84">
      <c r="A7" s="101" t="inlineStr">
        <is>
          <t>legal-secretary-testcase-003</t>
        </is>
      </c>
      <c r="B7" s="101" t="inlineStr">
        <is>
          <t>环境部署与启动</t>
        </is>
      </c>
      <c r="C7" s="102" t="inlineStr">
        <is>
          <t>部署测试</t>
        </is>
      </c>
      <c r="D7" s="101" t="inlineStr">
        <is>
          <t>验证后端 Swagger 文档正常打开</t>
        </is>
      </c>
      <c r="E7" s="102" t="inlineStr">
        <is>
          <t>中</t>
        </is>
      </c>
      <c r="F7" s="101" t="inlineStr">
        <is>
          <t>后端服务已在 8000 端口正常运行</t>
        </is>
      </c>
      <c r="G7" s="101" t="inlineStr">
        <is>
          <t>无</t>
        </is>
      </c>
      <c r="H7" s="101" t="inlineStr">
        <is>
          <t>1. 打开浏览器访问 http://localhost:8000/docs
2. 查看页面加载情况</t>
        </is>
      </c>
      <c r="I7" s="101" t="inlineStr">
        <is>
          <t>Swagger UI 页面正常加载，列出所有 API 端点（auth/contracts/negotiation/rag/admin 等路由）</t>
        </is>
      </c>
      <c r="J7" s="101" t="n"/>
      <c r="K7" s="101" t="n"/>
      <c r="L7" s="101" t="n"/>
      <c r="M7" s="14" t="n"/>
      <c r="N7" s="101" t="inlineStr">
        <is>
          <t>待最终人工测试填写</t>
        </is>
      </c>
      <c r="X7" s="15" t="n"/>
    </row>
    <row r="8" ht="87" customHeight="1" s="84">
      <c r="A8" s="101" t="inlineStr">
        <is>
          <t>legal-secretary-testcase-004</t>
        </is>
      </c>
      <c r="B8" s="101" t="inlineStr">
        <is>
          <t>环境部署与启动</t>
        </is>
      </c>
      <c r="C8" s="102" t="inlineStr">
        <is>
          <t>部署测试</t>
        </is>
      </c>
      <c r="D8" s="101" t="inlineStr">
        <is>
          <t>验证知识库灌入脚本执行成功</t>
        </is>
      </c>
      <c r="E8" s="102" t="inlineStr">
        <is>
          <t>中</t>
        </is>
      </c>
      <c r="F8" s="101" t="inlineStr">
        <is>
          <t>后端依赖已安装；SQLite 数据库文件 legal_secretary.db 不存在或旧数据可覆盖；knowledge_base/ 目录下模板和文档文件完整</t>
        </is>
      </c>
      <c r="G8" s="101" t="inlineStr">
        <is>
          <t>无</t>
        </is>
      </c>
      <c r="H8" s="101" t="inlineStr">
        <is>
          <t>1. 在项目根目录执行：PYTHONPATH=backend python scripts/ingest_knowledge_base.py
2. 观察终端输出</t>
        </is>
      </c>
      <c r="I8" s="101" t="inlineStr">
        <is>
          <t>终端输出导入 chunk 数量信息（约 191 条），无报错退出</t>
        </is>
      </c>
      <c r="J8" s="101" t="n"/>
      <c r="K8" s="101" t="n"/>
      <c r="L8" s="101" t="n"/>
      <c r="M8" s="14" t="n"/>
      <c r="N8" s="101" t="inlineStr">
        <is>
          <t>待最终人工测试填写</t>
        </is>
      </c>
      <c r="X8" s="15" t="n"/>
    </row>
    <row r="9" ht="70.8" customHeight="1" s="84">
      <c r="A9" s="101" t="inlineStr">
        <is>
          <t>legal-secretary-testcase-005</t>
        </is>
      </c>
      <c r="B9" s="101" t="inlineStr">
        <is>
          <t>登录认证</t>
        </is>
      </c>
      <c r="C9" s="102" t="inlineStr">
        <is>
          <t>功能测试</t>
        </is>
      </c>
      <c r="D9" s="101" t="inlineStr">
        <is>
          <t>验证普通用户使用正确凭证登录成功</t>
        </is>
      </c>
      <c r="E9" s="102" t="inlineStr">
        <is>
          <t>高</t>
        </is>
      </c>
      <c r="F9" s="101" t="inlineStr">
        <is>
          <t>后端和前端服务均已启动；已注册一个普通用户账号（或使用预设演示账号）</t>
        </is>
      </c>
      <c r="G9" s="101" t="inlineStr">
        <is>
          <t>手机号：13800000001
密码：user123</t>
        </is>
      </c>
      <c r="H9" s="101" t="inlineStr">
        <is>
          <t>1. 打开浏览器访问 http://localhost:5173
2. 页面自动跳转至 /login 登录页
3. 输入手机号 13800000001，密码 user123
4. 点击「登录」按钮</t>
        </is>
      </c>
      <c r="I9" s="101" t="inlineStr">
        <is>
          <t>登录成功，页面跳转至首页 /，导航栏显示用户头像和用户名</t>
        </is>
      </c>
      <c r="J9" s="101" t="n"/>
      <c r="K9" s="101" t="n"/>
      <c r="L9" s="101" t="n"/>
      <c r="M9" s="14" t="n"/>
      <c r="N9" s="101" t="inlineStr">
        <is>
          <t>待最终人工测试填写</t>
        </is>
      </c>
      <c r="X9" s="15" t="n"/>
    </row>
    <row r="10" ht="16.2" customHeight="1" s="84">
      <c r="A10" s="101" t="inlineStr">
        <is>
          <t>legal-secretary-testcase-006</t>
        </is>
      </c>
      <c r="B10" s="101" t="inlineStr">
        <is>
          <t>登录认证</t>
        </is>
      </c>
      <c r="C10" s="102" t="inlineStr">
        <is>
          <t>功能测试</t>
        </is>
      </c>
      <c r="D10" s="101" t="inlineStr">
        <is>
          <t>验证管理员使用正确凭证登录成功</t>
        </is>
      </c>
      <c r="E10" s="102" t="inlineStr">
        <is>
          <t>高</t>
        </is>
      </c>
      <c r="F10" s="101" t="inlineStr">
        <is>
          <t>后端和前端服务均已启动；管理员账号已存在（预设管理员 13800000000/admin123）</t>
        </is>
      </c>
      <c r="G10" s="101" t="inlineStr">
        <is>
          <t>手机号：13800000000
密码：admin123</t>
        </is>
      </c>
      <c r="H10" s="101" t="inlineStr">
        <is>
          <t>1. 打开浏览器访问 http://localhost:5173/login
2. 输入手机号 13800000000，密码 admin123
3. 点击「登录」按钮</t>
        </is>
      </c>
      <c r="I10" s="101" t="inlineStr">
        <is>
          <t>登录成功，导航栏右侧下拉菜单中出现「后台管理」入口</t>
        </is>
      </c>
      <c r="J10" s="101" t="n"/>
      <c r="K10" s="101" t="n"/>
      <c r="L10" s="101" t="n"/>
      <c r="M10" s="14" t="n"/>
      <c r="N10" s="101" t="inlineStr">
        <is>
          <t>待最终人工测试填写</t>
        </is>
      </c>
      <c r="X10" s="15" t="n"/>
      <c r="AP10" s="9" t="inlineStr">
        <is>
          <t>OK</t>
        </is>
      </c>
    </row>
    <row r="11" ht="31.2" customHeight="1" s="84">
      <c r="A11" s="101" t="inlineStr">
        <is>
          <t>legal-secretary-testcase-007</t>
        </is>
      </c>
      <c r="B11" s="101" t="inlineStr">
        <is>
          <t>登录认证</t>
        </is>
      </c>
      <c r="C11" s="102" t="inlineStr">
        <is>
          <t>功能测试</t>
        </is>
      </c>
      <c r="D11" s="101" t="inlineStr">
        <is>
          <t>验证错误密码登录失败并给出提示</t>
        </is>
      </c>
      <c r="E11" s="102" t="inlineStr">
        <is>
          <t>高</t>
        </is>
      </c>
      <c r="F11" s="101" t="inlineStr">
        <is>
          <t>后端和前端服务均已启动；普通用户 13800000001 已存在</t>
        </is>
      </c>
      <c r="G11" s="101" t="inlineStr">
        <is>
          <t>手机号：13800000001
密码：wrongpassword123</t>
        </is>
      </c>
      <c r="H11" s="101" t="inlineStr">
        <is>
          <t>1. 打开浏览器访问 http://localhost:5173/login
2. 输入手机号 13800000001，密码 wrongpassword123
3. 点击「登录」按钮</t>
        </is>
      </c>
      <c r="I11" s="101" t="inlineStr">
        <is>
          <t>登录失败，页面显示错误提示（如“手机号或密码错误”），URL 仍停留在 /login</t>
        </is>
      </c>
      <c r="J11" s="101" t="n"/>
      <c r="K11" s="101" t="n"/>
      <c r="L11" s="101" t="n"/>
      <c r="M11" s="14" t="n"/>
      <c r="N11" s="101" t="inlineStr">
        <is>
          <t>待最终人工测试填写</t>
        </is>
      </c>
      <c r="X11" s="15" t="n"/>
      <c r="AP11" s="9" t="inlineStr">
        <is>
          <t>POK</t>
        </is>
      </c>
    </row>
    <row r="12">
      <c r="A12" s="101" t="inlineStr">
        <is>
          <t>legal-secretary-testcase-008</t>
        </is>
      </c>
      <c r="B12" s="101" t="inlineStr">
        <is>
          <t>登录认证</t>
        </is>
      </c>
      <c r="C12" s="102" t="inlineStr">
        <is>
          <t>界面测试</t>
        </is>
      </c>
      <c r="D12" s="101" t="inlineStr">
        <is>
          <t>验证未登录用户访问受保护页面自动跳转登录页</t>
        </is>
      </c>
      <c r="E12" s="102" t="inlineStr">
        <is>
          <t>高</t>
        </is>
      </c>
      <c r="F12" s="101" t="inlineStr">
        <is>
          <t>浏览器无有效登录 token（清除 localStorage 或首次访问）；后端和前端服务均已启动</t>
        </is>
      </c>
      <c r="G12" s="101" t="inlineStr">
        <is>
          <t>无</t>
        </is>
      </c>
      <c r="H12" s="101" t="inlineStr">
        <is>
          <t>1. 打开浏览器清除 localStorage
2. 在地址栏直接输入 http://localhost:5173/draft
3. 观察页面跳转</t>
        </is>
      </c>
      <c r="I12" s="101" t="inlineStr">
        <is>
          <t>页面自动跳转至 /login?redirect=/draft，导航栏不显示用户信息</t>
        </is>
      </c>
      <c r="J12" s="101" t="n"/>
      <c r="K12" s="101" t="n"/>
      <c r="L12" s="101" t="n"/>
      <c r="M12" s="14" t="n"/>
      <c r="N12" s="101" t="inlineStr">
        <is>
          <t>待最终人工测试填写</t>
        </is>
      </c>
      <c r="AP12" s="9" t="inlineStr">
        <is>
          <t>NG</t>
        </is>
      </c>
    </row>
    <row r="13">
      <c r="A13" s="101" t="inlineStr">
        <is>
          <t>legal-secretary-testcase-009</t>
        </is>
      </c>
      <c r="B13" s="101" t="inlineStr">
        <is>
          <t>登录认证</t>
        </is>
      </c>
      <c r="C13" s="102" t="inlineStr">
        <is>
          <t>功能测试</t>
        </is>
      </c>
      <c r="D13" s="101" t="inlineStr">
        <is>
          <t>验证登录后 token 保持会话状态（页面刷新不退出）</t>
        </is>
      </c>
      <c r="E13" s="102" t="inlineStr">
        <is>
          <t>中</t>
        </is>
      </c>
      <c r="F13" s="101" t="inlineStr">
        <is>
          <t>用户已登录（13800000001/user123）</t>
        </is>
      </c>
      <c r="G13" s="101" t="inlineStr">
        <is>
          <t>无</t>
        </is>
      </c>
      <c r="H13" s="101" t="inlineStr">
        <is>
          <t>1. 用户已登录成功，处于首页
2. 按 F5 刷新页面
3. 观察页面状态</t>
        </is>
      </c>
      <c r="I13" s="101" t="inlineStr">
        <is>
          <t>刷新后页面仍处于登录状态，导航栏显示用户信息，可正常访问 /draft 等受保护页面</t>
        </is>
      </c>
      <c r="J13" s="101" t="n"/>
      <c r="K13" s="101" t="n"/>
      <c r="L13" s="101" t="n"/>
      <c r="M13" s="14" t="n"/>
      <c r="N13" s="101" t="inlineStr">
        <is>
          <t>待最终人工测试填写</t>
        </is>
      </c>
      <c r="AP13" s="9" t="inlineStr">
        <is>
          <t>NT</t>
        </is>
      </c>
    </row>
    <row r="14">
      <c r="A14" s="101" t="inlineStr">
        <is>
          <t>legal-secretary-testcase-010</t>
        </is>
      </c>
      <c r="B14" s="101" t="inlineStr">
        <is>
          <t>登录认证</t>
        </is>
      </c>
      <c r="C14" s="102" t="inlineStr">
        <is>
          <t>功能测试</t>
        </is>
      </c>
      <c r="D14" s="101" t="inlineStr">
        <is>
          <t>验证退出登录后清除会话并跳转登录页</t>
        </is>
      </c>
      <c r="E14" s="102" t="inlineStr">
        <is>
          <t>中</t>
        </is>
      </c>
      <c r="F14" s="101" t="inlineStr">
        <is>
          <t>用户已登录（13800000001/user123）</t>
        </is>
      </c>
      <c r="G14" s="101" t="inlineStr">
        <is>
          <t>无</t>
        </is>
      </c>
      <c r="H14" s="101" t="inlineStr">
        <is>
          <t>1. 点击导航栏右侧头像，打开下拉菜单
2. 点击「退出登录」
3. 观察页面变化</t>
        </is>
      </c>
      <c r="I14" s="101" t="inlineStr">
        <is>
          <t>退出成功，页面跳转至 /login，访问 /draft 时再次跳转至登录页</t>
        </is>
      </c>
      <c r="J14" s="101" t="n"/>
      <c r="K14" s="101" t="n"/>
      <c r="L14" s="101" t="n"/>
      <c r="M14" s="14" t="n"/>
      <c r="N14" s="101" t="inlineStr">
        <is>
          <t>待最终人工测试填写</t>
        </is>
      </c>
    </row>
    <row r="15">
      <c r="A15" s="101" t="inlineStr">
        <is>
          <t>legal-secretary-testcase-011</t>
        </is>
      </c>
      <c r="B15" s="101" t="inlineStr">
        <is>
          <t>合同起草对话</t>
        </is>
      </c>
      <c r="C15" s="102" t="inlineStr">
        <is>
          <t>功能测试</t>
        </is>
      </c>
      <c r="D15" s="101" t="inlineStr">
        <is>
          <t>验证进入合同起草页面布局正常</t>
        </is>
      </c>
      <c r="E15" s="102" t="inlineStr">
        <is>
          <t>高</t>
        </is>
      </c>
      <c r="F15" s="101" t="inlineStr">
        <is>
          <t>用户已登录；后端和前端服务均已启动</t>
        </is>
      </c>
      <c r="G15" s="101" t="inlineStr">
        <is>
          <t>无</t>
        </is>
      </c>
      <c r="H15" s="101" t="inlineStr">
        <is>
          <t>1. 点击导航栏「合同起草」或访问 /draft
2. 观察页面布局</t>
        </is>
      </c>
      <c r="I15" s="101" t="inlineStr">
        <is>
          <t>页面显示三栏布局：左侧合同类型列表、中间对话区、右侧合同预览区；左侧显示 5 种合同类型（技术服务、采购、劳动、合作、保密）</t>
        </is>
      </c>
      <c r="J15" s="101" t="n"/>
      <c r="K15" s="101" t="n"/>
      <c r="L15" s="101" t="n"/>
      <c r="M15" s="14" t="n"/>
      <c r="N15" s="101" t="inlineStr">
        <is>
          <t>待最终人工测试填写</t>
        </is>
      </c>
    </row>
    <row r="16">
      <c r="A16" s="101" t="inlineStr">
        <is>
          <t>legal-secretary-testcase-012</t>
        </is>
      </c>
      <c r="B16" s="101" t="inlineStr">
        <is>
          <t>合同起草对话</t>
        </is>
      </c>
      <c r="C16" s="102" t="inlineStr">
        <is>
          <t>功能测试</t>
        </is>
      </c>
      <c r="D16" s="101" t="inlineStr">
        <is>
          <t>验证选择合同类型后进入对话</t>
        </is>
      </c>
      <c r="E16" s="102" t="inlineStr">
        <is>
          <t>高</t>
        </is>
      </c>
      <c r="F16" s="101" t="inlineStr">
        <is>
          <t>用户已登录，位于 /draft 页面</t>
        </is>
      </c>
      <c r="G16" s="101" t="inlineStr">
        <is>
          <t>无</t>
        </is>
      </c>
      <c r="H16" s="101" t="inlineStr">
        <is>
          <t>1. 在左侧合同类型列表中点击「技术服务合同」
2. 观察中间对话区变化</t>
        </is>
      </c>
      <c r="I16" s="101" t="inlineStr">
        <is>
          <t>中间对话区出现 AI 欢迎消息，询问合同相关要素（如甲方、乙方、项目名称、金额等）；左侧显示已选类型高亮</t>
        </is>
      </c>
      <c r="J16" s="101" t="n"/>
      <c r="K16" s="101" t="n"/>
      <c r="L16" s="101" t="n"/>
      <c r="M16" s="14" t="n"/>
      <c r="N16" s="101" t="inlineStr">
        <is>
          <t>待最终人工测试填写</t>
        </is>
      </c>
    </row>
    <row r="17">
      <c r="A17" s="101" t="inlineStr">
        <is>
          <t>legal-secretary-testcase-013</t>
        </is>
      </c>
      <c r="B17" s="101" t="inlineStr">
        <is>
          <t>合同起草对话</t>
        </is>
      </c>
      <c r="C17" s="102" t="inlineStr">
        <is>
          <t>功能测试</t>
        </is>
      </c>
      <c r="D17" s="101" t="inlineStr">
        <is>
          <t>验证技术服务合同多轮对话收集完整要素</t>
        </is>
      </c>
      <c r="E17" s="102" t="inlineStr">
        <is>
          <t>高</t>
        </is>
      </c>
      <c r="F17" s="101" t="inlineStr">
        <is>
          <t>用户已登录，已选择「技术服务合同」类型</t>
        </is>
      </c>
      <c r="G17" s="101" t="inlineStr">
        <is>
          <t>甲方：北京创新科技有限公司
乙方：上海云服务有限公司
项目名称：企业云平台开发项目
合同金额：150 万元
交付时间：2026 年 12 月 31 日
付款方式：合同签订后预付 30%，验收合格后支付 70%</t>
        </is>
      </c>
      <c r="H17" s="101" t="inlineStr">
        <is>
          <t>1. 在输入框中输入「甲方：北京创新科技有限公司」，按回车发送
2. 等待 AI 确认后输入「乙方：上海云服务有限公司」
3. 依次输入项目名称、合同金额、交付时间、付款方式
4. 观察 AI 确认内容</t>
        </is>
      </c>
      <c r="I17" s="101" t="inlineStr">
        <is>
          <t>AI 逐条确认用户输入的要素，左侧要素展示区显示已收集的全部字段（甲方/乙方/项目名称/金额/交付时间/付款方式）</t>
        </is>
      </c>
      <c r="J17" s="101" t="n"/>
      <c r="K17" s="101" t="n"/>
      <c r="L17" s="101" t="n"/>
      <c r="M17" s="14" t="n"/>
      <c r="N17" s="101" t="inlineStr">
        <is>
          <t>待最终人工测试填写</t>
        </is>
      </c>
    </row>
    <row r="18">
      <c r="A18" s="101" t="inlineStr">
        <is>
          <t>legal-secretary-testcase-014</t>
        </is>
      </c>
      <c r="B18" s="101" t="inlineStr">
        <is>
          <t>合同起草对话</t>
        </is>
      </c>
      <c r="C18" s="102" t="inlineStr">
        <is>
          <t>功能测试</t>
        </is>
      </c>
      <c r="D18" s="101" t="inlineStr">
        <is>
          <t>验证 SSE 流式对话正常显示</t>
        </is>
      </c>
      <c r="E18" s="102" t="inlineStr">
        <is>
          <t>中</t>
        </is>
      </c>
      <c r="F18" s="101" t="inlineStr">
        <is>
          <t>用户已登录，已选择合同类型并发送一条消息</t>
        </is>
      </c>
      <c r="G18" s="101" t="inlineStr">
        <is>
          <t>甲方：测试公司</t>
        </is>
      </c>
      <c r="H18" s="101" t="inlineStr">
        <is>
          <t>1. 输入「甲方：测试公司」并发送
2. 观察 AI 回复的展示方式</t>
        </is>
      </c>
      <c r="I18" s="101" t="inlineStr">
        <is>
          <t>AI 回复以打字机效果逐字或逐段显示（SSE 流式输出），非一次性全部出现</t>
        </is>
      </c>
      <c r="J18" s="101" t="n"/>
      <c r="K18" s="101" t="n"/>
      <c r="L18" s="101" t="n"/>
      <c r="M18" s="14" t="n"/>
      <c r="N18" s="101" t="inlineStr">
        <is>
          <t>待最终人工测试填写</t>
        </is>
      </c>
    </row>
    <row r="19">
      <c r="A19" s="101" t="inlineStr">
        <is>
          <t>legal-secretary-testcase-015</t>
        </is>
      </c>
      <c r="B19" s="101" t="inlineStr">
        <is>
          <t>合同起草对话</t>
        </is>
      </c>
      <c r="C19" s="102" t="inlineStr">
        <is>
          <t>功能测试</t>
        </is>
      </c>
      <c r="D19" s="101" t="inlineStr">
        <is>
          <t>验证裸值输入时 AI 能根据上下文推断字段</t>
        </is>
      </c>
      <c r="E19" s="102" t="inlineStr">
        <is>
          <t>中</t>
        </is>
      </c>
      <c r="F19" s="101" t="inlineStr">
        <is>
          <t>用户已登录，已选择合同类型，AI 刚询问了合同金额</t>
        </is>
      </c>
      <c r="G19" s="101" t="inlineStr">
        <is>
          <t>150 万元</t>
        </is>
      </c>
      <c r="H19" s="101" t="inlineStr">
        <is>
          <t>1. 当 AI 询问「合同金额是多少？」时
2. 直接输入「150 万元」而不带字段前缀
3. 观察 AI 回复</t>
        </is>
      </c>
      <c r="I19" s="101" t="inlineStr">
        <is>
          <t>AI 正确识别为金额字段，回复中包含「合同金额 150 万元已记录」等确认信息</t>
        </is>
      </c>
      <c r="J19" s="101" t="n"/>
      <c r="K19" s="101" t="n"/>
      <c r="L19" s="101" t="n"/>
      <c r="M19" s="14" t="n"/>
      <c r="N19" s="101" t="inlineStr">
        <is>
          <t>待最终人工测试填写</t>
        </is>
      </c>
    </row>
    <row r="20">
      <c r="A20" s="101" t="inlineStr">
        <is>
          <t>legal-secretary-testcase-016</t>
        </is>
      </c>
      <c r="B20" s="101" t="inlineStr">
        <is>
          <t>合同起草对话</t>
        </is>
      </c>
      <c r="C20" s="102" t="inlineStr">
        <is>
          <t>功能测试</t>
        </is>
      </c>
      <c r="D20" s="101" t="inlineStr">
        <is>
          <t>验证空输入时页面给出提示</t>
        </is>
      </c>
      <c r="E20" s="102" t="inlineStr">
        <is>
          <t>中</t>
        </is>
      </c>
      <c r="F20" s="101" t="inlineStr">
        <is>
          <t>用户已登录，已选择合同类型</t>
        </is>
      </c>
      <c r="G20" s="101" t="inlineStr">
        <is>
          <t>（空字符串）</t>
        </is>
      </c>
      <c r="H20" s="101" t="inlineStr">
        <is>
          <t>1. 在输入框中不输入任何内容
2. 直接点击发送按钮或按回车</t>
        </is>
      </c>
      <c r="I20" s="101" t="inlineStr">
        <is>
          <t>页面提示输入不能为空，不发送请求</t>
        </is>
      </c>
      <c r="J20" s="101" t="n"/>
      <c r="K20" s="101" t="n"/>
      <c r="L20" s="101" t="n"/>
      <c r="M20" s="14" t="n"/>
      <c r="N20" s="101" t="inlineStr">
        <is>
          <t>待最终人工测试填写</t>
        </is>
      </c>
    </row>
    <row r="21">
      <c r="A21" s="101" t="inlineStr">
        <is>
          <t>legal-secretary-testcase-017</t>
        </is>
      </c>
      <c r="B21" s="101" t="inlineStr">
        <is>
          <t>合同起草对话</t>
        </is>
      </c>
      <c r="C21" s="102" t="inlineStr">
        <is>
          <t>功能测试</t>
        </is>
      </c>
      <c r="D21" s="101" t="inlineStr">
        <is>
          <t>验证后端接口异常时页面显示错误提示</t>
        </is>
      </c>
      <c r="E21" s="102" t="inlineStr">
        <is>
          <t>中</t>
        </is>
      </c>
      <c r="F21" s="101" t="inlineStr">
        <is>
          <t>后端服务未启动；前端已启动</t>
        </is>
      </c>
      <c r="G21" s="101" t="inlineStr">
        <is>
          <t>甲方：测试公司</t>
        </is>
      </c>
      <c r="H21" s="101" t="inlineStr">
        <is>
          <t>1. 停止后端服务（或确保 8000 端口不可达）
2. 在前端输入「甲方：测试公司」并发送</t>
        </is>
      </c>
      <c r="I21" s="101" t="inlineStr">
        <is>
          <t>页面显示错误提示（如「接口请求失败，请检查后端服务」），不白屏不崩溃</t>
        </is>
      </c>
      <c r="J21" s="101" t="n"/>
      <c r="K21" s="101" t="n"/>
      <c r="L21" s="101" t="n"/>
      <c r="M21" s="14" t="n"/>
      <c r="N21" s="101" t="inlineStr">
        <is>
          <t>待最终人工测试填写</t>
        </is>
      </c>
    </row>
    <row r="22">
      <c r="A22" s="101" t="inlineStr">
        <is>
          <t>legal-secretary-testcase-018</t>
        </is>
      </c>
      <c r="B22" s="101" t="inlineStr">
        <is>
          <t>合同生成与预览</t>
        </is>
      </c>
      <c r="C22" s="102" t="inlineStr">
        <is>
          <t>功能测试</t>
        </is>
      </c>
      <c r="D22" s="101" t="inlineStr">
        <is>
          <t>验证对话完成后流式生成合同正文</t>
        </is>
      </c>
      <c r="E22" s="102" t="inlineStr">
        <is>
          <t>高</t>
        </is>
      </c>
      <c r="F22" s="101" t="inlineStr">
        <is>
          <t>用户已登录，已选择技术服务合同，所有必填字段已采集完毕</t>
        </is>
      </c>
      <c r="G22" s="101" t="inlineStr">
        <is>
          <t>无（点击「生成合同」按钮）</t>
        </is>
      </c>
      <c r="H22" s="101" t="inlineStr">
        <is>
          <t>1. 完成所有必填字段的对话
2. 点击「生成合同」按钮
3. 观察右侧预览区</t>
        </is>
      </c>
      <c r="I22" s="101" t="inlineStr">
        <is>
          <t>右侧预览区以流式方式逐段显示合同正文，包含合同标题、条款编号和内容</t>
        </is>
      </c>
      <c r="J22" s="101" t="n"/>
      <c r="K22" s="101" t="n"/>
      <c r="L22" s="101" t="n"/>
      <c r="M22" s="14" t="n"/>
      <c r="N22" s="101" t="inlineStr">
        <is>
          <t>待最终人工测试填写</t>
        </is>
      </c>
    </row>
    <row r="23">
      <c r="A23" s="101" t="inlineStr">
        <is>
          <t>legal-secretary-testcase-019</t>
        </is>
      </c>
      <c r="B23" s="101" t="inlineStr">
        <is>
          <t>合同生成与预览</t>
        </is>
      </c>
      <c r="C23" s="102" t="inlineStr">
        <is>
          <t>功能测试</t>
        </is>
      </c>
      <c r="D23" s="101" t="inlineStr">
        <is>
          <t>验证合同正文包含对话中已收集的字段值</t>
        </is>
      </c>
      <c r="E23" s="102" t="inlineStr">
        <is>
          <t>高</t>
        </is>
      </c>
      <c r="F23" s="101" t="inlineStr">
        <is>
          <t>用户已登录，已收集甲方/乙方/项目名称/金额/付款方式等字段后生成合同</t>
        </is>
      </c>
      <c r="G23" s="101" t="inlineStr">
        <is>
          <t>甲方：北京创新科技有限公司
乙方：上海云服务有限公司
项目名称：企业云平台开发项目</t>
        </is>
      </c>
      <c r="H23" s="101" t="inlineStr">
        <is>
          <t>1. 按用例 013 完成要素收集
2. 点击「生成合同」
3. 在生成的合同正文中搜索甲方、乙方、项目名称等字段</t>
        </is>
      </c>
      <c r="I23" s="101" t="inlineStr">
        <is>
          <t>合同正文中正确出现了「北京创新科技有限公司」「上海云服务有限公司」「企业云平台开发项目」等已填写的内容</t>
        </is>
      </c>
      <c r="J23" s="101" t="n"/>
      <c r="K23" s="101" t="n"/>
      <c r="L23" s="101" t="n"/>
      <c r="M23" s="14" t="n"/>
      <c r="N23" s="101" t="inlineStr">
        <is>
          <t>待最终人工测试填写</t>
        </is>
      </c>
    </row>
    <row r="24">
      <c r="A24" s="101" t="inlineStr">
        <is>
          <t>legal-secretary-testcase-020</t>
        </is>
      </c>
      <c r="B24" s="101" t="inlineStr">
        <is>
          <t>合同生成与预览</t>
        </is>
      </c>
      <c r="C24" s="102" t="inlineStr">
        <is>
          <t>界面测试</t>
        </is>
      </c>
      <c r="D24" s="101" t="inlineStr">
        <is>
          <t>验证合同预览区 Markdown 渲染正常</t>
        </is>
      </c>
      <c r="E24" s="102" t="inlineStr">
        <is>
          <t>中</t>
        </is>
      </c>
      <c r="F24" s="101" t="inlineStr">
        <is>
          <t>用户已登录，已生成合同并显示在右侧预览区</t>
        </is>
      </c>
      <c r="G24" s="101" t="inlineStr">
        <is>
          <t>无</t>
        </is>
      </c>
      <c r="H24" s="101" t="inlineStr">
        <is>
          <t>1. 完成合同生成后
2. 观察右侧预览区的排版效果</t>
        </is>
      </c>
      <c r="I24" s="101" t="inlineStr">
        <is>
          <t>合同正文以排版良好的格式显示，标题加粗、条款编号清晰、段落有合理间距，并非纯文本</t>
        </is>
      </c>
      <c r="J24" s="101" t="n"/>
      <c r="K24" s="101" t="n"/>
      <c r="L24" s="101" t="n"/>
      <c r="M24" s="14" t="n"/>
      <c r="N24" s="101" t="inlineStr">
        <is>
          <t>待最终人工测试填写</t>
        </is>
      </c>
    </row>
    <row r="25">
      <c r="A25" s="101" t="inlineStr">
        <is>
          <t>legal-secretary-testcase-021</t>
        </is>
      </c>
      <c r="B25" s="101" t="inlineStr">
        <is>
          <t>合同生成与预览</t>
        </is>
      </c>
      <c r="C25" s="102" t="inlineStr">
        <is>
          <t>功能测试</t>
        </is>
      </c>
      <c r="D25" s="101" t="inlineStr">
        <is>
          <t>验证未填必填字段时生成合同给出补充提示</t>
        </is>
      </c>
      <c r="E25" s="102" t="inlineStr">
        <is>
          <t>中</t>
        </is>
      </c>
      <c r="F25" s="101" t="inlineStr">
        <is>
          <t>用户已登录，已选择技术服务合同，但故意跳过某个必填字段（如不填写合同金额）</t>
        </is>
      </c>
      <c r="G25" s="101" t="inlineStr">
        <is>
          <t>甲方：测试公司
乙方：测试乙方
项目名称：测试项目</t>
        </is>
      </c>
      <c r="H25" s="101" t="inlineStr">
        <is>
          <t>1. 只填写甲方、乙方、项目名称，不填合同金额和付款方式
2. 点击「生成合同」按钮</t>
        </is>
      </c>
      <c r="I25" s="101" t="inlineStr">
        <is>
          <t>页面提示尚有必填字段未填写（如合同金额），建议继续补充后再生成</t>
        </is>
      </c>
      <c r="J25" s="101" t="n"/>
      <c r="K25" s="101" t="n"/>
      <c r="L25" s="101" t="n"/>
      <c r="M25" s="14" t="n"/>
      <c r="N25" s="101" t="inlineStr">
        <is>
          <t>待最终人工测试填写</t>
        </is>
      </c>
    </row>
    <row r="26">
      <c r="A26" s="101" t="inlineStr">
        <is>
          <t>legal-secretary-testcase-022</t>
        </is>
      </c>
      <c r="B26" s="101" t="inlineStr">
        <is>
          <t>合同生成与预览</t>
        </is>
      </c>
      <c r="C26" s="102" t="inlineStr">
        <is>
          <t>功能测试</t>
        </is>
      </c>
      <c r="D26" s="101" t="inlineStr">
        <is>
          <t>验证生成失败时页面显示错误提示</t>
        </is>
      </c>
      <c r="E26" s="102" t="inlineStr">
        <is>
          <t>中</t>
        </is>
      </c>
      <c r="F26" s="101" t="inlineStr">
        <is>
          <t>用户已登录，已收集完字段，后端服务异常（如 AI 接口不可达）</t>
        </is>
      </c>
      <c r="G26" s="101" t="inlineStr">
        <is>
          <t>无</t>
        </is>
      </c>
      <c r="H26" s="101" t="inlineStr">
        <is>
          <t>1. 模拟后端 AI 接口不可用（如断开网络或停用 LLM_API_KEY）
2. 点击「生成合同」</t>
        </is>
      </c>
      <c r="I26" s="101" t="inlineStr">
        <is>
          <t>页面显示错误提示，不白屏不崩溃，用户可继续对话或重试</t>
        </is>
      </c>
      <c r="J26" s="101" t="n"/>
      <c r="K26" s="101" t="n"/>
      <c r="L26" s="101" t="n"/>
      <c r="M26" s="14" t="n"/>
      <c r="N26" s="101" t="inlineStr">
        <is>
          <t>待最终人工测试填写</t>
        </is>
      </c>
    </row>
    <row r="27">
      <c r="A27" s="101" t="inlineStr">
        <is>
          <t>legal-secretary-testcase-023</t>
        </is>
      </c>
      <c r="B27" s="101" t="inlineStr">
        <is>
          <t>RAG 知识库</t>
        </is>
      </c>
      <c r="C27" s="102" t="inlineStr">
        <is>
          <t>功能测试</t>
        </is>
      </c>
      <c r="D27" s="101" t="inlineStr">
        <is>
          <t>验证知识库灌入脚本执行后数据库写入正确</t>
        </is>
      </c>
      <c r="E27" s="102" t="inlineStr">
        <is>
          <t>中</t>
        </is>
      </c>
      <c r="F27" s="101" t="inlineStr">
        <is>
          <t>项目根目录存在 knowledge_base/ 目录（含 templates/、legal_docs/、clauses/）；Python 依赖已安装</t>
        </is>
      </c>
      <c r="G27" s="101" t="inlineStr">
        <is>
          <t>无</t>
        </is>
      </c>
      <c r="H27" s="101" t="inlineStr">
        <is>
          <t>1. 删除旧的 legal_secretary.db（可选）
2. 执行：PYTHONPATH=backend python scripts/ingest_knowledge_base.py
3. 查看 SQLite 数据库中 LawArticle 表的记录数</t>
        </is>
      </c>
      <c r="I27" s="101" t="inlineStr">
        <is>
          <t>脚本执行成功，LawArticle 表中写入约 191 条 chunk 记录，无报错</t>
        </is>
      </c>
      <c r="J27" s="101" t="n"/>
      <c r="K27" s="101" t="n"/>
      <c r="L27" s="101" t="n"/>
      <c r="M27" s="14" t="n"/>
      <c r="N27" s="101" t="inlineStr">
        <is>
          <t>待 Agent 分支合并后执行</t>
        </is>
      </c>
    </row>
    <row r="28">
      <c r="A28" s="101" t="inlineStr">
        <is>
          <t>legal-secretary-testcase-024</t>
        </is>
      </c>
      <c r="B28" s="101" t="inlineStr">
        <is>
          <t>RAG 知识库</t>
        </is>
      </c>
      <c r="C28" s="102" t="inlineStr">
        <is>
          <t>功能测试</t>
        </is>
      </c>
      <c r="D28" s="101" t="inlineStr">
        <is>
          <t>验证通过 RAG 接口查询「违约金过高怎么办？」返回相关法律知识</t>
        </is>
      </c>
      <c r="E28" s="102" t="inlineStr">
        <is>
          <t>中</t>
        </is>
      </c>
      <c r="F28" s="101" t="inlineStr">
        <is>
          <t>知识库灌入脚本已执行成功；后端服务已启动</t>
        </is>
      </c>
      <c r="G28" s="101" t="inlineStr">
        <is>
          <t>查询内容：「违约金过高怎么办？」</t>
        </is>
      </c>
      <c r="H28" s="101" t="inlineStr">
        <is>
          <t>1. 调用 RAG 搜索接口：POST /api/v1/rag/search
2. 请求 body：{
    "query": "违约金过高怎么办？",
    "contract_type": "",
    "top_k": 5
  }
3. 查看返回结果</t>
        </is>
      </c>
      <c r="I28" s="101" t="inlineStr">
        <is>
          <t>返回结果包含相关法律依据（如民法典第 585 条关于违约金调整的规定），结果非空</t>
        </is>
      </c>
      <c r="J28" s="101" t="n"/>
      <c r="K28" s="101" t="n"/>
      <c r="L28" s="101" t="n"/>
      <c r="M28" s="14" t="n"/>
      <c r="N28" s="101" t="inlineStr">
        <is>
          <t>待 Agent 分支合并后执行</t>
        </is>
      </c>
    </row>
    <row r="29">
      <c r="A29" s="101" t="inlineStr">
        <is>
          <t>legal-secretary-testcase-025</t>
        </is>
      </c>
      <c r="B29" s="101" t="inlineStr">
        <is>
          <t>RAG 知识库</t>
        </is>
      </c>
      <c r="C29" s="102" t="inlineStr">
        <is>
          <t>功能测试</t>
        </is>
      </c>
      <c r="D29" s="101" t="inlineStr">
        <is>
          <t>验证通过 RAG 接口查询「保密期限一般怎么约定？」返回相关条款</t>
        </is>
      </c>
      <c r="E29" s="102" t="inlineStr">
        <is>
          <t>中</t>
        </is>
      </c>
      <c r="F29" s="101" t="inlineStr">
        <is>
          <t>知识库灌入脚本已执行成功；后端服务已启动</t>
        </is>
      </c>
      <c r="G29" s="101" t="inlineStr">
        <is>
          <t>查询内容：「保密期限一般怎么约定？」</t>
        </is>
      </c>
      <c r="H29" s="101" t="inlineStr">
        <is>
          <t>1. 调用 RAG 搜索接口：POST /api/v1/rag/search
2. 请求 body：{
    "query": "保密期限一般怎么约定？",
    "contract_type": "",
    "top_k": 5
  }
3. 查看返回结果</t>
        </is>
      </c>
      <c r="I29" s="101" t="inlineStr">
        <is>
          <t>返回结果包含保密协议相关条款或法律知识，提及保密期限的行业惯例或法律要求</t>
        </is>
      </c>
      <c r="J29" s="101" t="n"/>
      <c r="K29" s="101" t="n"/>
      <c r="L29" s="101" t="n"/>
      <c r="M29" s="14" t="n"/>
      <c r="N29" s="101" t="inlineStr">
        <is>
          <t>待 Agent 分支合并后执行</t>
        </is>
      </c>
    </row>
    <row r="30">
      <c r="A30" s="101" t="inlineStr">
        <is>
          <t>legal-secretary-testcase-026</t>
        </is>
      </c>
      <c r="B30" s="101" t="inlineStr">
        <is>
          <t>RAG 知识库</t>
        </is>
      </c>
      <c r="C30" s="102" t="inlineStr">
        <is>
          <t>功能测试</t>
        </is>
      </c>
      <c r="D30" s="101" t="inlineStr">
        <is>
          <t>验证查询「技术服务合同验收标准不明确有什么风险？」返回风险分析</t>
        </is>
      </c>
      <c r="E30" s="102" t="inlineStr">
        <is>
          <t>中</t>
        </is>
      </c>
      <c r="F30" s="101" t="inlineStr">
        <is>
          <t>知识库灌入脚本已执行成功；后端服务已启动</t>
        </is>
      </c>
      <c r="G30" s="101" t="inlineStr">
        <is>
          <t>查询内容：「技术服务合同验收标准不明确有什么风险？」</t>
        </is>
      </c>
      <c r="H30" s="101" t="inlineStr">
        <is>
          <t>1. 调用 RAG 搜索接口：POST /api/v1/rag/search
2. 请求 body：{
    "query": "技术服务合同验收标准不明确有什么风险？",
    "contract_type": "",
    "top_k": 5
  }
3. 查看返回结果</t>
        </is>
      </c>
      <c r="I30" s="101" t="inlineStr">
        <is>
          <t>返回结果包含验收标准不明确的相关风险描述和建议，结果非空</t>
        </is>
      </c>
      <c r="J30" s="101" t="n"/>
      <c r="K30" s="101" t="n"/>
      <c r="L30" s="101" t="n"/>
      <c r="M30" s="14" t="n"/>
      <c r="N30" s="101" t="inlineStr">
        <is>
          <t>待 Agent 分支合并后执行</t>
        </is>
      </c>
    </row>
    <row r="31">
      <c r="A31" s="101" t="inlineStr">
        <is>
          <t>legal-secretary-testcase-027</t>
        </is>
      </c>
      <c r="B31" s="101" t="inlineStr">
        <is>
          <t>RAG 知识库</t>
        </is>
      </c>
      <c r="C31" s="102" t="inlineStr">
        <is>
          <t>功能测试</t>
        </is>
      </c>
      <c r="D31" s="101" t="inlineStr">
        <is>
          <t>验证 RAG 查询返回为空时页面提示无结果</t>
        </is>
      </c>
      <c r="E31" s="102" t="inlineStr">
        <is>
          <t>中</t>
        </is>
      </c>
      <c r="F31" s="101" t="inlineStr">
        <is>
          <t>知识库灌入脚本已执行；后端服务已启动；使用无意义的查询关键词</t>
        </is>
      </c>
      <c r="G31" s="101" t="inlineStr">
        <is>
          <t>查询内容：「asdfghjklzxcvbnm」</t>
        </is>
      </c>
      <c r="H31" s="101" t="inlineStr">
        <is>
          <t>1. 调用 RAG 搜索接口：POST /api/v1/rag/search
2. 请求 body：{
    "query": "asdfghjklzxcvbnm",
    "contract_type": "",
    "top_k": 5
  }
3. 查看返回结果</t>
        </is>
      </c>
      <c r="I31" s="101" t="inlineStr">
        <is>
          <t>返回结果为空列表或提示无相关结果，接口不报错</t>
        </is>
      </c>
      <c r="J31" s="101" t="n"/>
      <c r="K31" s="101" t="n"/>
      <c r="L31" s="101" t="n"/>
      <c r="M31" s="14" t="n"/>
      <c r="N31" s="101" t="inlineStr">
        <is>
          <t>待 Agent 分支合并后执行</t>
        </is>
      </c>
    </row>
    <row r="32">
      <c r="A32" s="101" t="inlineStr">
        <is>
          <t>legal-secretary-testcase-028</t>
        </is>
      </c>
      <c r="B32" s="101" t="inlineStr">
        <is>
          <t>谈判风险审查</t>
        </is>
      </c>
      <c r="C32" s="102" t="inlineStr">
        <is>
          <t>功能测试</t>
        </is>
      </c>
      <c r="D32" s="101" t="inlineStr">
        <is>
          <t>验证在谈判分析页面上传原合同和修改稿</t>
        </is>
      </c>
      <c r="E32" s="102" t="inlineStr">
        <is>
          <t>高</t>
        </is>
      </c>
      <c r="F32" s="101" t="inlineStr">
        <is>
          <t>用户已登录；已创建一份合同；有一份 txt/docx 格式的对方修改稿文件</t>
        </is>
      </c>
      <c r="G32" s="101" t="inlineStr">
        <is>
          <t>原合同 ID：已有合同（如 ID=1）
修改稿文件：对方修改稿.txt</t>
        </is>
      </c>
      <c r="H32" s="101" t="inlineStr">
        <is>
          <t>1. 点击导航栏「谈判辅助」进入 /negotiate
2. 选择已创建的合同
3. 上传对方修改稿文件
4. 点击「开始分析」</t>
        </is>
      </c>
      <c r="I32" s="101" t="inlineStr">
        <is>
          <t>上传成功，系统开始执行差异比对和分析</t>
        </is>
      </c>
      <c r="J32" s="101" t="n"/>
      <c r="K32" s="101" t="n"/>
      <c r="L32" s="101" t="n"/>
      <c r="M32" s="14" t="n"/>
      <c r="N32" s="101" t="inlineStr">
        <is>
          <t>待 Agent 分支合并后执行</t>
        </is>
      </c>
    </row>
    <row r="33">
      <c r="A33" s="101" t="inlineStr">
        <is>
          <t>legal-secretary-testcase-029</t>
        </is>
      </c>
      <c r="B33" s="101" t="inlineStr">
        <is>
          <t>谈判风险审查</t>
        </is>
      </c>
      <c r="C33" s="102" t="inlineStr">
        <is>
          <t>功能测试</t>
        </is>
      </c>
      <c r="D33" s="101" t="inlineStr">
        <is>
          <t>验证 AI 识别出违约金过高的风险项</t>
        </is>
      </c>
      <c r="E33" s="102" t="inlineStr">
        <is>
          <t>高</t>
        </is>
      </c>
      <c r="F33" s="101" t="inlineStr">
        <is>
          <t>用户已登录；已上传包含违约金条款差异的合同（原合同违约金 5%，修改稿 30%）</t>
        </is>
      </c>
      <c r="G33" s="101" t="inlineStr">
        <is>
          <t>原合同违约金条款：5%
修改稿违约金条款：30%</t>
        </is>
      </c>
      <c r="H33" s="101" t="inlineStr">
        <is>
          <t>1. 上传对方修改稿（违约金比例从 5% 改为 30%）
2. 点击「AI 风险分析」
3. 查看风险分析结果</t>
        </is>
      </c>
      <c r="I33" s="101" t="inlineStr">
        <is>
          <t>风险列表中包含「违约金过高」风险项，标注风险等级，引用法律依据（民法典第 585 条）</t>
        </is>
      </c>
      <c r="J33" s="101" t="n"/>
      <c r="K33" s="101" t="n"/>
      <c r="L33" s="101" t="n"/>
      <c r="M33" s="14" t="n"/>
      <c r="N33" s="101" t="inlineStr">
        <is>
          <t>待 Agent 分支合并后执行</t>
        </is>
      </c>
    </row>
    <row r="34">
      <c r="A34" s="101" t="inlineStr">
        <is>
          <t>legal-secretary-testcase-030</t>
        </is>
      </c>
      <c r="B34" s="101" t="inlineStr">
        <is>
          <t>谈判风险审查</t>
        </is>
      </c>
      <c r="C34" s="102" t="inlineStr">
        <is>
          <t>功能测试</t>
        </is>
      </c>
      <c r="D34" s="101" t="inlineStr">
        <is>
          <t>验证 AI 识别出管辖地变更的风险项</t>
        </is>
      </c>
      <c r="E34" s="102" t="inlineStr">
        <is>
          <t>高</t>
        </is>
      </c>
      <c r="F34" s="101" t="inlineStr">
        <is>
          <t>用户已登录；修改稿中争议管辖法院被修改为对己方不利的地点</t>
        </is>
      </c>
      <c r="G34" s="101" t="inlineStr">
        <is>
          <t>原合同管辖：甲方所在地人民法院
修改稿管辖：乙方所在地人民法院</t>
        </is>
      </c>
      <c r="H34" s="101" t="inlineStr">
        <is>
          <t>1. 上传含管辖变更的修改稿
2. 点击「AI 风险分析」
3. 查看风险列表</t>
        </is>
      </c>
      <c r="I34" s="101" t="inlineStr">
        <is>
          <t>风险列表中包含「管辖地变更」风险项，提示管辖条款变动对己方的影响</t>
        </is>
      </c>
      <c r="J34" s="101" t="n"/>
      <c r="K34" s="101" t="n"/>
      <c r="L34" s="101" t="n"/>
      <c r="M34" s="14" t="n"/>
      <c r="N34" s="101" t="inlineStr">
        <is>
          <t>待 Agent 分支合并后执行</t>
        </is>
      </c>
    </row>
    <row r="35">
      <c r="A35" s="101" t="inlineStr">
        <is>
          <t>legal-secretary-testcase-031</t>
        </is>
      </c>
      <c r="B35" s="101" t="inlineStr">
        <is>
          <t>谈判风险审查</t>
        </is>
      </c>
      <c r="C35" s="102" t="inlineStr">
        <is>
          <t>功能测试</t>
        </is>
      </c>
      <c r="D35" s="101" t="inlineStr">
        <is>
          <t>验证 AI 识别出单方解除权不平衡的风险项</t>
        </is>
      </c>
      <c r="E35" s="102" t="inlineStr">
        <is>
          <t>中</t>
        </is>
      </c>
      <c r="F35" s="101" t="inlineStr">
        <is>
          <t>用户已登录；修改稿中增加了对一方极为有利的单方解除条款</t>
        </is>
      </c>
      <c r="G35" s="101" t="inlineStr">
        <is>
          <t>原合同：双方协商一致方可解除
修改稿：甲方可单方提前 3 日通知解除</t>
        </is>
      </c>
      <c r="H35" s="101" t="inlineStr">
        <is>
          <t>1. 上传含不平衡解除条款的修改稿
2. 点击「AI 风险分析」
3. 查看风险列表</t>
        </is>
      </c>
      <c r="I35" s="101" t="inlineStr">
        <is>
          <t>风险列表中包含「单方解除权不平衡」风险项，提示该条款可能导致合同随时被终止</t>
        </is>
      </c>
      <c r="J35" s="101" t="n"/>
      <c r="K35" s="101" t="n"/>
      <c r="L35" s="101" t="n"/>
      <c r="M35" s="14" t="n"/>
      <c r="N35" s="101" t="inlineStr">
        <is>
          <t>待 Agent 分支合并后执行</t>
        </is>
      </c>
    </row>
    <row r="36">
      <c r="A36" s="101" t="inlineStr">
        <is>
          <t>legal-secretary-testcase-032</t>
        </is>
      </c>
      <c r="B36" s="101" t="inlineStr">
        <is>
          <t>谈判风险审查</t>
        </is>
      </c>
      <c r="C36" s="102" t="inlineStr">
        <is>
          <t>功能测试</t>
        </is>
      </c>
      <c r="D36" s="101" t="inlineStr">
        <is>
          <t>验证选中风险项后可生成谈判回复建议</t>
        </is>
      </c>
      <c r="E36" s="102" t="inlineStr">
        <is>
          <t>高</t>
        </is>
      </c>
      <c r="F36" s="101" t="inlineStr">
        <is>
          <t>用户已登录；已完成风险分析并获得风险列表</t>
        </is>
      </c>
      <c r="G36" s="101" t="inlineStr">
        <is>
          <t>点击风险列表中的某条风险项（如「违约金过高」）</t>
        </is>
      </c>
      <c r="H36" s="101" t="inlineStr">
        <is>
          <t>1. 在谈判分析页面右侧风险列表中
2. 点击选中一条风险项
3. 查看详情区域是否出现话术建议</t>
        </is>
      </c>
      <c r="I36" s="101" t="inlineStr">
        <is>
          <t>右侧详情区显示该风险的详细分析，包含法律依据、底线策略、谈判话术建议（Plan A / Plan B）</t>
        </is>
      </c>
      <c r="J36" s="101" t="n"/>
      <c r="K36" s="101" t="n"/>
      <c r="L36" s="101" t="n"/>
      <c r="M36" s="14" t="n"/>
      <c r="N36" s="101" t="inlineStr">
        <is>
          <t>待 Agent 分支合并后执行</t>
        </is>
      </c>
    </row>
    <row r="37">
      <c r="A37" s="101" t="inlineStr">
        <is>
          <t>legal-secretary-testcase-033</t>
        </is>
      </c>
      <c r="B37" s="101" t="inlineStr">
        <is>
          <t>谈判风险审查</t>
        </is>
      </c>
      <c r="C37" s="102" t="inlineStr">
        <is>
          <t>功能测试</t>
        </is>
      </c>
      <c r="D37" s="101" t="inlineStr">
        <is>
          <t>验证未提供合同文本时分析给出提示</t>
        </is>
      </c>
      <c r="E37" s="102" t="inlineStr">
        <is>
          <t>中</t>
        </is>
      </c>
      <c r="F37" s="101" t="inlineStr">
        <is>
          <t>用户已登录，位于 /negotiate 页面</t>
        </is>
      </c>
      <c r="G37" s="101" t="inlineStr">
        <is>
          <t>无原合同，无修改稿</t>
        </is>
      </c>
      <c r="H37" s="101" t="inlineStr">
        <is>
          <t>1. 不选择任何合同
2. 不上传任何文件
3. 直接点击「开始分析」</t>
        </is>
      </c>
      <c r="I37" s="101" t="inlineStr">
        <is>
          <t>页面提示请先选择合同或上传修改稿</t>
        </is>
      </c>
      <c r="J37" s="101" t="n"/>
      <c r="K37" s="101" t="n"/>
      <c r="L37" s="101" t="n"/>
      <c r="M37" s="14" t="n"/>
      <c r="N37" s="101" t="inlineStr">
        <is>
          <t>待 Agent 分支合并后执行</t>
        </is>
      </c>
    </row>
    <row r="38">
      <c r="A38" s="101" t="inlineStr">
        <is>
          <t>legal-secretary-testcase-034</t>
        </is>
      </c>
      <c r="B38" s="101" t="inlineStr">
        <is>
          <t>谈判风险审查</t>
        </is>
      </c>
      <c r="C38" s="102" t="inlineStr">
        <is>
          <t>功能测试</t>
        </is>
      </c>
      <c r="D38" s="101" t="inlineStr">
        <is>
          <t>验证分析接口异常时页面友好提示</t>
        </is>
      </c>
      <c r="E38" s="102" t="inlineStr">
        <is>
          <t>中</t>
        </is>
      </c>
      <c r="F38" s="101" t="inlineStr">
        <is>
          <t>用户已登录，已选择合同和上传文件；后端 AI 接口模拟异常</t>
        </is>
      </c>
      <c r="G38" s="101" t="inlineStr">
        <is>
          <t>无</t>
        </is>
      </c>
      <c r="H38" s="101" t="inlineStr">
        <is>
          <t>1. 模拟后端 AI 分析接口返回 500 或超时
2. 点击「AI 风险分析」</t>
        </is>
      </c>
      <c r="I38" s="101" t="inlineStr">
        <is>
          <t>页面显示友好的错误提示（如「分析服务异常，请稍后重试」），不白屏不崩溃</t>
        </is>
      </c>
      <c r="J38" s="101" t="n"/>
      <c r="K38" s="101" t="n"/>
      <c r="L38" s="101" t="n"/>
      <c r="M38" s="14" t="n"/>
      <c r="N38" s="101" t="inlineStr">
        <is>
          <t>待 Agent 分支合并后执行</t>
        </is>
      </c>
    </row>
    <row r="39">
      <c r="A39" s="101" t="inlineStr">
        <is>
          <t>legal-secretary-testcase-035</t>
        </is>
      </c>
      <c r="B39" s="101" t="inlineStr">
        <is>
          <t>管理后台</t>
        </is>
      </c>
      <c r="C39" s="102" t="inlineStr">
        <is>
          <t>功能测试</t>
        </is>
      </c>
      <c r="D39" s="101" t="inlineStr">
        <is>
          <t>验证管理员可以正常进入后台管理页面</t>
        </is>
      </c>
      <c r="E39" s="102" t="inlineStr">
        <is>
          <t>高</t>
        </is>
      </c>
      <c r="F39" s="101" t="inlineStr">
        <is>
          <t>后端和前端均已启动；以管理员身份登录（13800000000/admin123）</t>
        </is>
      </c>
      <c r="G39" s="101" t="inlineStr">
        <is>
          <t>无</t>
        </is>
      </c>
      <c r="H39" s="101" t="inlineStr">
        <is>
          <t>1. 以管理员身份登录
2. 点击导航栏右侧头像 → 下拉菜单 →「后台管理」
3. 或直接访问 /admin</t>
        </is>
      </c>
      <c r="I39" s="101" t="inlineStr">
        <is>
          <t>成功进入后台管理页面，显示用户列表等管理功能</t>
        </is>
      </c>
      <c r="J39" s="101" t="n"/>
      <c r="K39" s="101" t="n"/>
      <c r="L39" s="101" t="n"/>
      <c r="M39" s="14" t="n"/>
      <c r="N39" s="101" t="inlineStr">
        <is>
          <t>待最终人工测试填写</t>
        </is>
      </c>
    </row>
    <row r="40">
      <c r="A40" s="101" t="inlineStr">
        <is>
          <t>legal-secretary-testcase-036</t>
        </is>
      </c>
      <c r="B40" s="101" t="inlineStr">
        <is>
          <t>管理后台</t>
        </is>
      </c>
      <c r="C40" s="102" t="inlineStr">
        <is>
          <t>界面测试</t>
        </is>
      </c>
      <c r="D40" s="101" t="inlineStr">
        <is>
          <t>验证普通用户无法访问后台管理页面</t>
        </is>
      </c>
      <c r="E40" s="102" t="inlineStr">
        <is>
          <t>高</t>
        </is>
      </c>
      <c r="F40" s="101" t="inlineStr">
        <is>
          <t>以普通用户身份登录（13800000001/user123）</t>
        </is>
      </c>
      <c r="G40" s="101" t="inlineStr">
        <is>
          <t>无</t>
        </is>
      </c>
      <c r="H40" s="101" t="inlineStr">
        <is>
          <t>1. 以普通用户身份登录
2. 在地址栏直接输入 http://localhost:5173/admin</t>
        </is>
      </c>
      <c r="I40" s="101" t="inlineStr">
        <is>
          <t>页面跳转至首页或显示无权限提示，导航栏下拉菜单中无「后台管理」入口</t>
        </is>
      </c>
      <c r="J40" s="101" t="n"/>
      <c r="K40" s="101" t="n"/>
      <c r="L40" s="101" t="n"/>
      <c r="M40" s="14" t="n"/>
      <c r="N40" s="101" t="inlineStr">
        <is>
          <t>待最终人工测试填写</t>
        </is>
      </c>
    </row>
    <row r="41">
      <c r="A41" s="101" t="inlineStr">
        <is>
          <t>legal-secretary-testcase-037</t>
        </is>
      </c>
      <c r="B41" s="101" t="inlineStr">
        <is>
          <t>管理后台</t>
        </is>
      </c>
      <c r="C41" s="102" t="inlineStr">
        <is>
          <t>功能测试</t>
        </is>
      </c>
      <c r="D41" s="101" t="inlineStr">
        <is>
          <t>验证后台用户列表正常加载并显示分页</t>
        </is>
      </c>
      <c r="E41" s="102" t="inlineStr">
        <is>
          <t>中</t>
        </is>
      </c>
      <c r="F41" s="101" t="inlineStr">
        <is>
          <t>管理员已登录，位于 /admin 页面</t>
        </is>
      </c>
      <c r="G41" s="101" t="inlineStr">
        <is>
          <t>无</t>
        </is>
      </c>
      <c r="H41" s="101" t="inlineStr">
        <is>
          <t>1. 进入后台管理页面
2. 查看用户列表表格
3. 检查分页控件</t>
        </is>
      </c>
      <c r="I41" s="101" t="inlineStr">
        <is>
          <t>用户列表表格正常加载，显示用户名/手机号/角色/状态/注册时间等列；底部有分页控件</t>
        </is>
      </c>
      <c r="J41" s="101" t="n"/>
      <c r="K41" s="101" t="n"/>
      <c r="L41" s="101" t="n"/>
      <c r="M41" s="14" t="n"/>
      <c r="N41" s="101" t="inlineStr">
        <is>
          <t>待最终人工测试填写</t>
        </is>
      </c>
    </row>
    <row r="42">
      <c r="A42" s="101" t="inlineStr">
        <is>
          <t>legal-secretary-testcase-038</t>
        </is>
      </c>
      <c r="B42" s="101" t="inlineStr">
        <is>
          <t>管理后台</t>
        </is>
      </c>
      <c r="C42" s="102" t="inlineStr">
        <is>
          <t>界面测试</t>
        </is>
      </c>
      <c r="D42" s="101" t="inlineStr">
        <is>
          <t>验证 API Key 配置页面展示正常</t>
        </is>
      </c>
      <c r="E42" s="102" t="inlineStr">
        <is>
          <t>中</t>
        </is>
      </c>
      <c r="F42" s="101" t="inlineStr">
        <is>
          <t>管理员已登录</t>
        </is>
      </c>
      <c r="G42" s="101" t="inlineStr">
        <is>
          <t>无</t>
        </is>
      </c>
      <c r="H42" s="101" t="inlineStr">
        <is>
          <t>1. 进入后台管理页面
2. 切换到「API Key 管理」选项卡
3. 观察页面</t>
        </is>
      </c>
      <c r="I42" s="101" t="inlineStr">
        <is>
          <t>API Key 管理页面正常显示，可查看或编辑 API Key 配置</t>
        </is>
      </c>
      <c r="J42" s="101" t="n"/>
      <c r="K42" s="101" t="n"/>
      <c r="L42" s="101" t="n"/>
      <c r="M42" s="14" t="n"/>
      <c r="N42" s="101" t="inlineStr">
        <is>
          <t>待最终人工测试填写</t>
        </is>
      </c>
    </row>
    <row r="43">
      <c r="A43" s="101" t="inlineStr">
        <is>
          <t>legal-secretary-testcase-039</t>
        </is>
      </c>
      <c r="B43" s="101" t="inlineStr">
        <is>
          <t>管理后台</t>
        </is>
      </c>
      <c r="C43" s="102" t="inlineStr">
        <is>
          <t>界面测试</t>
        </is>
      </c>
      <c r="D43" s="101" t="inlineStr">
        <is>
          <t>验证日志或统计页面展示正常</t>
        </is>
      </c>
      <c r="E43" s="102" t="inlineStr">
        <is>
          <t>低</t>
        </is>
      </c>
      <c r="F43" s="101" t="inlineStr">
        <is>
          <t>管理员已登录</t>
        </is>
      </c>
      <c r="G43" s="101" t="inlineStr">
        <is>
          <t>无</t>
        </is>
      </c>
      <c r="H43" s="101" t="inlineStr">
        <is>
          <t>1. 进入后台管理页面
2. 切换到「系统日志」或「系统统计」选项卡
3. 观察页面</t>
        </is>
      </c>
      <c r="I43" s="101" t="inlineStr">
        <is>
          <t>日志或统计页面正常显示，日志列表有时间/操作/用户等列，统计页面有图表或数据汇总</t>
        </is>
      </c>
      <c r="J43" s="101" t="n"/>
      <c r="K43" s="101" t="n"/>
      <c r="L43" s="101" t="n"/>
      <c r="M43" s="14" t="n"/>
      <c r="N43" s="101" t="inlineStr">
        <is>
          <t>待最终人工测试填写</t>
        </is>
      </c>
    </row>
    <row r="44">
      <c r="A44" s="101" t="inlineStr">
        <is>
          <t>legal-secretary-testcase-040</t>
        </is>
      </c>
      <c r="B44" s="101" t="inlineStr">
        <is>
          <t>异常与安全检查</t>
        </is>
      </c>
      <c r="C44" s="102" t="inlineStr">
        <is>
          <t>部署测试</t>
        </is>
      </c>
      <c r="D44" s="101" t="inlineStr">
        <is>
          <t>验证 .env 文件不在版本控制中</t>
        </is>
      </c>
      <c r="E44" s="102" t="inlineStr">
        <is>
          <t>高</t>
        </is>
      </c>
      <c r="F44" s="101" t="inlineStr">
        <is>
          <t>项目已克隆到本地，能执行 git 命令</t>
        </is>
      </c>
      <c r="G44" s="101" t="inlineStr">
        <is>
          <t>无</t>
        </is>
      </c>
      <c r="H44" s="101" t="inlineStr">
        <is>
          <t>1. 在项目根目录执行：git status --ignored .env
2. 或查看 .gitignore 是否包含 .env</t>
        </is>
      </c>
      <c r="I44" s="101" t="inlineStr">
        <is>
          <t>.env 在 .gitignore 中被忽略，不在 git 跟踪范围内</t>
        </is>
      </c>
      <c r="J44" s="101" t="n"/>
      <c r="K44" s="101" t="n"/>
      <c r="L44" s="101" t="n"/>
      <c r="M44" s="14" t="n"/>
      <c r="N44" s="101" t="inlineStr">
        <is>
          <t>待最终人工测试填写</t>
        </is>
      </c>
    </row>
    <row r="45">
      <c r="A45" s="101" t="inlineStr">
        <is>
          <t>legal-secretary-testcase-041</t>
        </is>
      </c>
      <c r="B45" s="101" t="inlineStr">
        <is>
          <t>异常与安全检查</t>
        </is>
      </c>
      <c r="C45" s="102" t="inlineStr">
        <is>
          <t>部署测试</t>
        </is>
      </c>
      <c r="D45" s="101" t="inlineStr">
        <is>
          <t>验证 .env.example 不包含真实密钥</t>
        </is>
      </c>
      <c r="E45" s="102" t="inlineStr">
        <is>
          <t>高</t>
        </is>
      </c>
      <c r="F45" s="101" t="inlineStr">
        <is>
          <t>项目根目录存在 .env.example 文件</t>
        </is>
      </c>
      <c r="G45" s="101" t="inlineStr">
        <is>
          <t>无</t>
        </is>
      </c>
      <c r="H45" s="101" t="inlineStr">
        <is>
          <t>1. 用文本编辑器打开 .env.example
2. 检查其中的 API Key 值</t>
        </is>
      </c>
      <c r="I45" s="101" t="inlineStr">
        <is>
          <t>.env.example 中 LLM_API_KEY 等敏感字段使用占位符（如 YOUR_API_KEY_HERE），不包含真实密钥</t>
        </is>
      </c>
      <c r="J45" s="101" t="n"/>
      <c r="K45" s="101" t="n"/>
      <c r="L45" s="101" t="n"/>
      <c r="M45" s="14" t="n"/>
      <c r="N45" s="101" t="inlineStr">
        <is>
          <t>待最终人工测试填写</t>
        </is>
      </c>
    </row>
    <row r="46">
      <c r="A46" s="101" t="inlineStr">
        <is>
          <t>legal-secretary-testcase-042</t>
        </is>
      </c>
      <c r="B46" s="101" t="inlineStr">
        <is>
          <t>异常与安全检查</t>
        </is>
      </c>
      <c r="C46" s="102" t="inlineStr">
        <is>
          <t>界面测试</t>
        </is>
      </c>
      <c r="D46" s="101" t="inlineStr">
        <is>
          <t>验证所有前端网络请求均指向 /api/v1/* 路径</t>
        </is>
      </c>
      <c r="E46" s="102" t="inlineStr">
        <is>
          <t>中</t>
        </is>
      </c>
      <c r="F46" s="101" t="inlineStr">
        <is>
          <t>前端已启动，浏览器开发者工具已打开</t>
        </is>
      </c>
      <c r="G46" s="101" t="inlineStr">
        <is>
          <t>无</t>
        </is>
      </c>
      <c r="H46" s="101" t="inlineStr">
        <is>
          <t>1. 打开浏览器开发者工具 → Network 面板
2. 依次操作：登录、进入合同起草、发送消息、生成合同、进入谈判辅助
3. 检查所有 XHR/fetch 请求的 URL</t>
        </is>
      </c>
      <c r="I46" s="101" t="inlineStr">
        <is>
          <t>所有请求的 URL 均以 /api/v1/ 开头（如 /api/v1/auth/login、/api/v1/contracts/types 等）</t>
        </is>
      </c>
      <c r="J46" s="101" t="n"/>
      <c r="K46" s="101" t="n"/>
      <c r="L46" s="101" t="n"/>
      <c r="M46" s="14" t="n"/>
      <c r="N46" s="101" t="inlineStr">
        <is>
          <t>待最终人工测试填写</t>
        </is>
      </c>
    </row>
    <row r="47">
      <c r="A47" s="101" t="inlineStr">
        <is>
          <t>legal-secretary-testcase-043</t>
        </is>
      </c>
      <c r="B47" s="101" t="inlineStr">
        <is>
          <t>异常与安全检查</t>
        </is>
      </c>
      <c r="C47" s="102" t="inlineStr">
        <is>
          <t>部署测试</t>
        </is>
      </c>
      <c r="D47" s="101" t="inlineStr">
        <is>
          <t>验证 README 和测试文档中不出现真实 API Key</t>
        </is>
      </c>
      <c r="E47" s="102" t="inlineStr">
        <is>
          <t>中</t>
        </is>
      </c>
      <c r="F47" s="101" t="inlineStr">
        <is>
          <t>项目根目录存在 README.md 及相关文档</t>
        </is>
      </c>
      <c r="G47" s="101" t="inlineStr">
        <is>
          <t>无</t>
        </is>
      </c>
      <c r="H47" s="101" t="inlineStr">
        <is>
          <t>1. 在项目根目录执行：grep -rn "sk-[a-zA-Z0-9]" README.md docs/*.md --include="*.md"
2. 排查 README.md 和 docs/ 下所有 Markdown 文件
3. 打开本测试用例表 docs/legal-secretary_system_test_case_form.xlsx，在所有单元格中搜索 sk-、sk-ws- 等前缀</t>
        </is>
      </c>
      <c r="I47" s="101" t="inlineStr">
        <is>
          <t>所有文档（Markdown 及本 xlsx 测试用例表）中均不包含以 sk-、sk-ws- 等形式开头的真实 API 密钥</t>
        </is>
      </c>
      <c r="J47" s="101" t="n"/>
      <c r="K47" s="101" t="n"/>
      <c r="L47" s="101" t="n"/>
      <c r="M47" s="14" t="n"/>
      <c r="N47" s="101" t="inlineStr">
        <is>
          <t>待最终人工测试填写</t>
        </is>
      </c>
    </row>
    <row r="48">
      <c r="A48" s="101" t="inlineStr">
        <is>
          <t>legal-secretary-testcase-044</t>
        </is>
      </c>
      <c r="B48" s="101" t="inlineStr">
        <is>
          <t>异常与安全检查</t>
        </is>
      </c>
      <c r="C48" s="102" t="inlineStr">
        <is>
          <t>部署测试</t>
        </is>
      </c>
      <c r="D48" s="101" t="inlineStr">
        <is>
          <t>验证本地 SQLite 数据库文件不进入测试交付内容</t>
        </is>
      </c>
      <c r="E48" s="102" t="inlineStr">
        <is>
          <t>中</t>
        </is>
      </c>
      <c r="F48" s="101" t="inlineStr">
        <is>
          <t>项目已运行过，可能存在 legal_secretary.db</t>
        </is>
      </c>
      <c r="G48" s="101" t="inlineStr">
        <is>
          <t>无</t>
        </is>
      </c>
      <c r="H48" s="101" t="inlineStr">
        <is>
          <t>1. 确认 project 根目录下的 .gitignore 是否包含 *.db
2. 执行：git ls-files *.db 检查是否已被跟踪</t>
        </is>
      </c>
      <c r="I48" s="101" t="inlineStr">
        <is>
          <t>legal_secretary.db 等 SQLite 文件在 .gitignore 中被忽略，不在测试交付物中</t>
        </is>
      </c>
      <c r="J48" s="101" t="n"/>
      <c r="K48" s="101" t="n"/>
      <c r="L48" s="101" t="n"/>
      <c r="M48" s="14" t="n"/>
      <c r="N48" s="101" t="inlineStr">
        <is>
          <t>待最终人工测试填写</t>
        </is>
      </c>
    </row>
    <row r="49">
      <c r="A49" s="101" t="inlineStr">
        <is>
          <t>legal-secretary-testcase-045</t>
        </is>
      </c>
      <c r="B49" s="101" t="inlineStr">
        <is>
          <t>自动化测试</t>
        </is>
      </c>
      <c r="C49" s="102" t="inlineStr">
        <is>
          <t>单元测试</t>
        </is>
      </c>
      <c r="D49" s="101" t="inlineStr">
        <is>
          <t>验证项目 Python 测试集全部通过</t>
        </is>
      </c>
      <c r="E49" s="102" t="inlineStr">
        <is>
          <t>高</t>
        </is>
      </c>
      <c r="F49" s="101" t="inlineStr">
        <is>
          <t>已安装 requirements.txt 全部依赖；位于项目根目录；虚拟环境已激活（source .venv/bin/activate）</t>
        </is>
      </c>
      <c r="G49" s="101" t="inlineStr">
        <is>
          <t>python -m pytest</t>
        </is>
      </c>
      <c r="H49" s="101" t="inlineStr">
        <is>
          <t>1. 打开项目根目录终端
2. 执行 source .venv/bin/activate
3. 执行 python -m pytest
4. 观察测试输出</t>
        </is>
      </c>
      <c r="I49" s="101" t="inlineStr">
        <is>
          <t>所有测试用例通过，终端输出 passed，不出现 failed 或 error</t>
        </is>
      </c>
      <c r="J49" s="101" t="n"/>
      <c r="K49" s="101" t="n"/>
      <c r="L49" s="101" t="n"/>
      <c r="M49" s="105" t="n"/>
      <c r="N49" s="101" t="inlineStr">
        <is>
          <t>待最终人工测试填写</t>
        </is>
      </c>
    </row>
    <row r="50">
      <c r="A50" s="101" t="inlineStr">
        <is>
          <t>legal-secretary-testcase-046</t>
        </is>
      </c>
      <c r="B50" s="101" t="inlineStr">
        <is>
          <t>Agent 模板映射</t>
        </is>
      </c>
      <c r="C50" s="102" t="inlineStr">
        <is>
          <t>单元测试</t>
        </is>
      </c>
      <c r="D50" s="101" t="inlineStr">
        <is>
          <t>验证 5 类合同模板文件均可被 Agent 正确定位</t>
        </is>
      </c>
      <c r="E50" s="102" t="inlineStr">
        <is>
          <t>中</t>
        </is>
      </c>
      <c r="F50" s="101" t="inlineStr">
        <is>
          <t>已安装 requirements.txt 全部依赖；位于项目根目录；agent/contract_agent.py 文件中 TEMPLATE_FILE_MAP 已配置 5 类映射</t>
        </is>
      </c>
      <c r="G50" s="101" t="inlineStr">
        <is>
          <t>python -m pytest tests/test_agent_contract.py -v</t>
        </is>
      </c>
      <c r="H50" s="101" t="inlineStr">
        <is>
          <t>1. 打开项目根目录终端
2. 执行 python -m pytest tests/test_agent_contract.py -v
3. 观察测试输出</t>
        </is>
      </c>
      <c r="I50" s="101" t="inlineStr">
        <is>
          <t>测试通过；技术服务、采购、劳动、合作、保密 5 类合同模板文件均存在且可被 agent 正确定位，未知类型抛出 FileNotFoundError</t>
        </is>
      </c>
      <c r="J50" s="101" t="n"/>
      <c r="K50" s="101" t="n"/>
      <c r="L50" s="101" t="n"/>
      <c r="M50" s="105" t="n"/>
      <c r="N50" s="101" t="inlineStr">
        <is>
          <t>待最终人工测试填写</t>
        </is>
      </c>
    </row>
    <row r="51">
      <c r="A51" s="101" t="inlineStr">
        <is>
          <t>legal-secretary-testcase-047</t>
        </is>
      </c>
      <c r="B51" s="101" t="inlineStr">
        <is>
          <t>RAG 知识库</t>
        </is>
      </c>
      <c r="C51" s="102" t="inlineStr">
        <is>
          <t>单元测试</t>
        </is>
      </c>
      <c r="D51" s="101" t="inlineStr">
        <is>
          <t>验证 ingest_knowledge_base.py 支持当前知识库文件结构</t>
        </is>
      </c>
      <c r="E51" s="102" t="inlineStr">
        <is>
          <t>中</t>
        </is>
      </c>
      <c r="F51" s="101" t="inlineStr">
        <is>
          <t>已安装 requirements.txt 依赖；位于项目根目录；project_root 下 knowledge_base/ 目录非空</t>
        </is>
      </c>
      <c r="G51" s="101" t="inlineStr">
        <is>
          <t>python -m pytest tests/test_ingest_knowledge_base.py -v</t>
        </is>
      </c>
      <c r="H51" s="101" t="inlineStr">
        <is>
          <t>1. 打开项目根目录终端
2. 执行 source .venv/bin/activate
3. 执行 python -m pytest tests/test_ingest_knowledge_base.py -v
4. 观察测试输出</t>
        </is>
      </c>
      <c r="I51" s="101" t="inlineStr">
        <is>
          <t>8 项测试全部通过；脚本可兼容 dict/list 顶层 JSON、bottom_line_rules.json 和 Markdown 文档分块</t>
        </is>
      </c>
      <c r="J51" s="101" t="n"/>
      <c r="K51" s="101" t="n"/>
      <c r="L51" s="101" t="n"/>
      <c r="M51" s="105" t="n"/>
      <c r="N51" s="101" t="inlineStr">
        <is>
          <t>待最终人工测试填写</t>
        </is>
      </c>
    </row>
    <row r="52">
      <c r="A52" s="101" t="inlineStr">
        <is>
          <t>legal-secretary-testcase-048</t>
        </is>
      </c>
      <c r="B52" s="101" t="inlineStr">
        <is>
          <t>依赖检查</t>
        </is>
      </c>
      <c r="C52" s="102" t="inlineStr">
        <is>
          <t>单元测试</t>
        </is>
      </c>
      <c r="D52" s="101" t="inlineStr">
        <is>
          <t>验证 faiss-cpu 已列入 requirements.txt 依赖</t>
        </is>
      </c>
      <c r="E52" s="102" t="inlineStr">
        <is>
          <t>低</t>
        </is>
      </c>
      <c r="F52" s="101" t="inlineStr">
        <is>
          <t>项目根目录存在 requirements.txt</t>
        </is>
      </c>
      <c r="G52" s="101" t="inlineStr">
        <is>
          <t>grep -n "faiss-cpu" requirements.txt</t>
        </is>
      </c>
      <c r="H52" s="101" t="inlineStr">
        <is>
          <t>1. 打开项目根目录终端
2. 执行 grep -n "faiss-cpu" requirements.txt
3. 观察终端输出</t>
        </is>
      </c>
      <c r="I52" s="101" t="inlineStr">
        <is>
          <t>requirements.txt 中存在 faiss-cpu&gt;=1.7.0 或等价依赖声明</t>
        </is>
      </c>
      <c r="J52" s="101" t="n"/>
      <c r="K52" s="101" t="n"/>
      <c r="L52" s="101" t="n"/>
      <c r="M52" s="105" t="n"/>
      <c r="N52" s="101" t="inlineStr">
        <is>
          <t>待最终人工测试填写</t>
        </is>
      </c>
    </row>
    <row r="53">
      <c r="A53" s="101" t="inlineStr">
        <is>
          <t>legal-secretary-testcase-049</t>
        </is>
      </c>
      <c r="B53" s="101" t="inlineStr">
        <is>
          <t>注册与认证</t>
        </is>
      </c>
      <c r="C53" s="102" t="inlineStr">
        <is>
          <t>功能测试</t>
        </is>
      </c>
      <c r="D53" s="101" t="inlineStr">
        <is>
          <t>验证新用户注册成功并跳转登录页</t>
        </is>
      </c>
      <c r="E53" s="102" t="inlineStr">
        <is>
          <t>高</t>
        </is>
      </c>
      <c r="F53" s="101" t="inlineStr">
        <is>
          <t>后端和前端服务均已启动；手机号 13900000099 尚未注册</t>
        </is>
      </c>
      <c r="G53" s="101" t="inlineStr">
        <is>
          <t>手机号：13900000099
用户名：testuser
密码：Test123456
确认密码：Test123456
验证码：123456</t>
        </is>
      </c>
      <c r="H53" s="101" t="inlineStr">
        <is>
          <t>1. 打开浏览器访问 http://localhost:5173/register
2. 输入手机号 13900000099
3. 输入用户名 testuser
4. 输入密码 Test123456
5. 输入确认密码 Test123456
6. 点击获取验证码，输入 123456
7. 点击注册按钮</t>
        </is>
      </c>
      <c r="I53" s="101" t="inlineStr">
        <is>
          <t>注册成功，页面跳转至 /login 登录页，可使用新账号正常登录</t>
        </is>
      </c>
      <c r="J53" s="101" t="n"/>
      <c r="K53" s="101" t="n"/>
      <c r="L53" s="101" t="n"/>
      <c r="M53" s="105" t="n"/>
      <c r="N53" s="101" t="inlineStr">
        <is>
          <t>待最终人工测试填写</t>
        </is>
      </c>
    </row>
    <row r="54">
      <c r="A54" s="101" t="inlineStr">
        <is>
          <t>legal-secretary-testcase-050</t>
        </is>
      </c>
      <c r="B54" s="101" t="inlineStr">
        <is>
          <t>注册与认证</t>
        </is>
      </c>
      <c r="C54" s="102" t="inlineStr">
        <is>
          <t>功能测试</t>
        </is>
      </c>
      <c r="D54" s="101" t="inlineStr">
        <is>
          <t>验证用户可修改密码并使用新密码登录</t>
        </is>
      </c>
      <c r="E54" s="102" t="inlineStr">
        <is>
          <t>中</t>
        </is>
      </c>
      <c r="F54" s="101" t="inlineStr">
        <is>
          <t>用户已登录（使用 049 测试用例注册的账号 13900000099/Test123456）；后端 AuthService.change_password 接口已实现</t>
        </is>
      </c>
      <c r="G54" s="101" t="inlineStr">
        <is>
          <t>当前密码：Test123456
新密码：NewPass789
确认新密码：NewPass789</t>
        </is>
      </c>
      <c r="H54" s="101" t="inlineStr">
        <is>
          <t>1. 使用账号 13900000099 / Test123456 登录
2. 登录后访问 /profile
3. 点击「修改密码」
4. 输入当前密码 Test123456
5. 输入新密码 NewPass789
6. 输入确认新密码 NewPass789
7. 点击保存
8. 退出登录，使用新密码 NewPass789 重新登录
9. 确认旧密码 Test123456 已失效</t>
        </is>
      </c>
      <c r="I54" s="101" t="inlineStr">
        <is>
          <t>密码修改成功提示；退出后使用新密码 NewPass789 可正常登录，使用旧密码 Test123456 登录失败</t>
        </is>
      </c>
      <c r="J54" s="101" t="n"/>
      <c r="K54" s="101" t="n"/>
      <c r="L54" s="101" t="n"/>
      <c r="M54" s="105" t="n"/>
      <c r="N54" s="101" t="inlineStr">
        <is>
          <t>待后端 AuthService.change_password 修复并合并后执行</t>
        </is>
      </c>
    </row>
    <row r="55">
      <c r="A55" s="11" t="n"/>
      <c r="B55" s="11" t="n"/>
      <c r="C55" s="11" t="n"/>
      <c r="D55" s="11" t="n"/>
      <c r="E55" s="13" t="n"/>
      <c r="F55" s="11" t="n"/>
      <c r="G55" s="11" t="n"/>
      <c r="H55" s="11" t="n"/>
      <c r="I55" s="11" t="n"/>
      <c r="J55" s="11" t="n"/>
      <c r="K55" s="11" t="n"/>
      <c r="L55" s="11" t="n"/>
      <c r="M55" s="14" t="n"/>
      <c r="N55" s="11" t="n"/>
    </row>
    <row r="56">
      <c r="A56" s="11" t="n"/>
      <c r="B56" s="11" t="n"/>
      <c r="C56" s="11" t="n"/>
      <c r="D56" s="11" t="n"/>
      <c r="E56" s="13" t="n"/>
      <c r="F56" s="11" t="n"/>
      <c r="G56" s="11" t="n"/>
      <c r="H56" s="11" t="n"/>
      <c r="I56" s="11" t="n"/>
      <c r="J56" s="11" t="n"/>
      <c r="K56" s="11" t="n"/>
      <c r="L56" s="11" t="n"/>
      <c r="M56" s="14" t="n"/>
      <c r="N56" s="11" t="n"/>
    </row>
    <row r="57">
      <c r="A57" s="11" t="n"/>
      <c r="B57" s="11" t="n"/>
      <c r="C57" s="11" t="n"/>
      <c r="D57" s="11" t="n"/>
      <c r="E57" s="13" t="n"/>
      <c r="F57" s="11" t="n"/>
      <c r="G57" s="11" t="n"/>
      <c r="H57" s="11" t="n"/>
      <c r="I57" s="11" t="n"/>
      <c r="J57" s="11" t="n"/>
      <c r="K57" s="11" t="n"/>
      <c r="L57" s="11" t="n"/>
      <c r="M57" s="14" t="n"/>
      <c r="N57" s="11" t="n"/>
    </row>
    <row r="58">
      <c r="A58" s="11" t="n"/>
      <c r="B58" s="11" t="n"/>
      <c r="C58" s="11" t="n"/>
      <c r="D58" s="11" t="n"/>
      <c r="E58" s="13" t="n"/>
      <c r="F58" s="11" t="n"/>
      <c r="G58" s="11" t="n"/>
      <c r="H58" s="11" t="n"/>
      <c r="I58" s="11" t="n"/>
      <c r="J58" s="11" t="n"/>
      <c r="K58" s="11" t="n"/>
      <c r="L58" s="11" t="n"/>
      <c r="M58" s="14" t="n"/>
      <c r="N58" s="11" t="n"/>
    </row>
    <row r="59">
      <c r="A59" s="11" t="n"/>
      <c r="B59" s="11" t="n"/>
      <c r="C59" s="11" t="n"/>
      <c r="D59" s="11" t="n"/>
      <c r="E59" s="13" t="n"/>
      <c r="F59" s="11" t="n"/>
      <c r="G59" s="11" t="n"/>
      <c r="H59" s="11" t="n"/>
      <c r="I59" s="11" t="n"/>
      <c r="J59" s="11" t="n"/>
      <c r="K59" s="11" t="n"/>
      <c r="L59" s="11" t="n"/>
      <c r="M59" s="14" t="n"/>
      <c r="N59" s="11" t="n"/>
    </row>
    <row r="60">
      <c r="A60" s="11" t="n"/>
      <c r="B60" s="11" t="n"/>
      <c r="C60" s="11" t="n"/>
      <c r="D60" s="11" t="n"/>
      <c r="E60" s="13" t="n"/>
      <c r="F60" s="11" t="n"/>
      <c r="G60" s="11" t="n"/>
      <c r="H60" s="11" t="n"/>
      <c r="I60" s="11" t="n"/>
      <c r="J60" s="11" t="n"/>
      <c r="K60" s="11" t="n"/>
      <c r="L60" s="11" t="n"/>
      <c r="M60" s="14" t="n"/>
      <c r="N60" s="11" t="n"/>
    </row>
    <row r="61">
      <c r="A61" s="11" t="n"/>
      <c r="B61" s="11" t="n"/>
      <c r="C61" s="11" t="n"/>
      <c r="D61" s="11" t="n"/>
      <c r="E61" s="13" t="n"/>
      <c r="F61" s="11" t="n"/>
      <c r="G61" s="11" t="n"/>
      <c r="H61" s="11" t="n"/>
      <c r="I61" s="11" t="n"/>
      <c r="J61" s="11" t="n"/>
      <c r="K61" s="11" t="n"/>
      <c r="L61" s="11" t="n"/>
      <c r="M61" s="14" t="n"/>
      <c r="N61" s="11" t="n"/>
    </row>
    <row r="62">
      <c r="A62" s="11" t="n"/>
      <c r="B62" s="11" t="n"/>
      <c r="C62" s="11" t="n"/>
      <c r="D62" s="11" t="n"/>
      <c r="E62" s="13" t="n"/>
      <c r="F62" s="11" t="n"/>
      <c r="G62" s="11" t="n"/>
      <c r="H62" s="11" t="n"/>
      <c r="I62" s="11" t="n"/>
      <c r="J62" s="11" t="n"/>
      <c r="K62" s="11" t="n"/>
      <c r="L62" s="11" t="n"/>
      <c r="M62" s="14" t="n"/>
      <c r="N62" s="11" t="n"/>
    </row>
    <row r="63">
      <c r="C63" s="11" t="n"/>
      <c r="E63" s="13" t="n"/>
      <c r="K63" s="11" t="n"/>
      <c r="L63" s="11" t="n"/>
    </row>
    <row r="64">
      <c r="C64" s="11" t="n"/>
      <c r="E64" s="13" t="n"/>
      <c r="L64" s="11" t="n"/>
    </row>
    <row r="65">
      <c r="C65" s="11" t="n"/>
      <c r="E65" s="13" t="n"/>
      <c r="L65" s="11" t="n"/>
    </row>
    <row r="66">
      <c r="C66" s="11" t="n"/>
      <c r="E66" s="13" t="n"/>
      <c r="L66" s="11" t="n"/>
    </row>
    <row r="67">
      <c r="C67" s="11" t="n"/>
      <c r="E67" s="13" t="n"/>
      <c r="L67" s="11" t="n"/>
    </row>
    <row r="68">
      <c r="C68" s="11" t="n"/>
      <c r="E68" s="13" t="n"/>
      <c r="L68" s="11" t="n"/>
    </row>
    <row r="69">
      <c r="C69" s="11" t="n"/>
      <c r="E69" s="13" t="n"/>
      <c r="L69" s="11" t="n"/>
    </row>
    <row r="70">
      <c r="C70" s="11" t="n"/>
      <c r="E70" s="13" t="n"/>
      <c r="L70" s="11" t="n"/>
    </row>
    <row r="71">
      <c r="C71" s="11" t="n"/>
      <c r="E71" s="13" t="n"/>
      <c r="L71" s="11" t="n"/>
    </row>
    <row r="72">
      <c r="C72" s="11" t="n"/>
      <c r="E72" s="13" t="n"/>
      <c r="L72" s="11" t="n"/>
    </row>
    <row r="73">
      <c r="C73" s="11" t="n"/>
      <c r="E73" s="13" t="n"/>
      <c r="L73" s="11" t="n"/>
    </row>
    <row r="74">
      <c r="C74" s="11" t="n"/>
      <c r="E74" s="13" t="n"/>
      <c r="L74" s="11" t="n"/>
    </row>
    <row r="75">
      <c r="C75" s="11" t="n"/>
      <c r="E75" s="13" t="n"/>
      <c r="L75" s="11" t="n"/>
    </row>
    <row r="76">
      <c r="C76" s="11" t="n"/>
      <c r="E76" s="13" t="n"/>
      <c r="L76" s="11" t="n"/>
    </row>
    <row r="77">
      <c r="C77" s="11" t="n"/>
      <c r="E77" s="13" t="n"/>
      <c r="L77" s="11" t="n"/>
    </row>
    <row r="78">
      <c r="C78" s="11" t="n"/>
      <c r="E78" s="13" t="n"/>
      <c r="L78" s="11" t="n"/>
    </row>
    <row r="79">
      <c r="C79" s="11" t="n"/>
      <c r="E79" s="13" t="n"/>
      <c r="L79" s="11" t="n"/>
    </row>
    <row r="80">
      <c r="C80" s="11" t="n"/>
      <c r="E80" s="13" t="n"/>
      <c r="L80" s="11" t="n"/>
    </row>
    <row r="81">
      <c r="C81" s="11" t="n"/>
      <c r="E81" s="13" t="n"/>
      <c r="L81" s="11" t="n"/>
    </row>
    <row r="82">
      <c r="C82" s="11" t="n"/>
      <c r="E82" s="13" t="n"/>
      <c r="L82" s="11" t="n"/>
    </row>
    <row r="83">
      <c r="C83" s="11" t="n"/>
      <c r="E83" s="13" t="n"/>
      <c r="L83" s="11" t="n"/>
    </row>
    <row r="84">
      <c r="C84" s="11" t="n"/>
      <c r="E84" s="13" t="n"/>
      <c r="L84" s="11" t="n"/>
    </row>
    <row r="85">
      <c r="C85" s="11" t="n"/>
      <c r="E85" s="13" t="n"/>
      <c r="L85" s="11" t="n"/>
    </row>
    <row r="86">
      <c r="C86" s="11" t="n"/>
      <c r="E86" s="13" t="n"/>
      <c r="L86" s="11" t="n"/>
    </row>
    <row r="87">
      <c r="C87" s="11" t="n"/>
      <c r="E87" s="13" t="n"/>
      <c r="L87" s="11" t="n"/>
    </row>
    <row r="88">
      <c r="C88" s="11" t="n"/>
      <c r="E88" s="13" t="n"/>
      <c r="L88" s="11" t="n"/>
    </row>
    <row r="89">
      <c r="C89" s="11" t="n"/>
      <c r="E89" s="13" t="n"/>
      <c r="L89" s="11" t="n"/>
    </row>
    <row r="90">
      <c r="C90" s="11" t="n"/>
      <c r="E90" s="13" t="n"/>
      <c r="L90" s="11" t="n"/>
    </row>
    <row r="91">
      <c r="C91" s="11" t="n"/>
      <c r="E91" s="13" t="n"/>
      <c r="L91" s="11" t="n"/>
    </row>
    <row r="92">
      <c r="C92" s="11" t="n"/>
      <c r="E92" s="13" t="n"/>
      <c r="L92" s="11" t="n"/>
    </row>
    <row r="93">
      <c r="C93" s="11" t="n"/>
      <c r="E93" s="13" t="n"/>
      <c r="L93" s="11" t="n"/>
    </row>
    <row r="94">
      <c r="C94" s="11" t="n"/>
      <c r="E94" s="13" t="n"/>
      <c r="L94" s="11" t="n"/>
    </row>
    <row r="95">
      <c r="C95" s="11" t="n"/>
      <c r="E95" s="13" t="n"/>
      <c r="L95" s="11" t="n"/>
    </row>
    <row r="96">
      <c r="C96" s="11" t="n"/>
      <c r="E96" s="13" t="n"/>
      <c r="L96" s="11" t="n"/>
    </row>
    <row r="97">
      <c r="C97" s="11" t="n"/>
      <c r="E97" s="13" t="n"/>
      <c r="L97" s="11" t="n"/>
    </row>
    <row r="98">
      <c r="C98" s="11" t="n"/>
      <c r="E98" s="13" t="n"/>
      <c r="L98" s="11" t="n"/>
    </row>
    <row r="99">
      <c r="C99" s="11" t="n"/>
      <c r="E99" s="13" t="n"/>
      <c r="L99" s="11" t="n"/>
    </row>
    <row r="100">
      <c r="C100" s="11" t="n"/>
      <c r="E100" s="13" t="n"/>
      <c r="L100" s="11" t="n"/>
    </row>
    <row r="101">
      <c r="C101" s="11" t="n"/>
      <c r="E101" s="13" t="n"/>
      <c r="L101" s="11" t="n"/>
    </row>
    <row r="102">
      <c r="C102" s="11" t="n"/>
      <c r="E102" s="13" t="n"/>
      <c r="L102" s="11" t="n"/>
    </row>
    <row r="103">
      <c r="C103" s="11" t="n"/>
      <c r="E103" s="13" t="n"/>
      <c r="L103" s="11" t="n"/>
    </row>
    <row r="104">
      <c r="C104" s="11" t="n"/>
      <c r="E104" s="13" t="n"/>
      <c r="L104" s="11" t="n"/>
    </row>
    <row r="105">
      <c r="C105" s="11" t="n"/>
      <c r="E105" s="13" t="n"/>
      <c r="L105" s="11" t="n"/>
    </row>
    <row r="106">
      <c r="C106" s="11" t="n"/>
      <c r="E106" s="13" t="n"/>
      <c r="L106" s="11" t="n"/>
    </row>
    <row r="107">
      <c r="C107" s="11" t="n"/>
      <c r="E107" s="13" t="n"/>
      <c r="L107" s="11" t="n"/>
    </row>
    <row r="108">
      <c r="C108" s="11" t="n"/>
      <c r="E108" s="13" t="n"/>
      <c r="L108" s="11" t="n"/>
    </row>
    <row r="109">
      <c r="C109" s="11" t="n"/>
      <c r="E109" s="13" t="n"/>
      <c r="L109" s="11" t="n"/>
    </row>
    <row r="110">
      <c r="C110" s="11" t="n"/>
      <c r="E110" s="13" t="n"/>
      <c r="L110" s="11" t="n"/>
    </row>
    <row r="111">
      <c r="C111" s="11" t="n"/>
      <c r="E111" s="13" t="n"/>
      <c r="L111" s="11" t="n"/>
    </row>
    <row r="112">
      <c r="C112" s="11" t="n"/>
      <c r="E112" s="13" t="n"/>
      <c r="L112" s="11" t="n"/>
    </row>
    <row r="113">
      <c r="C113" s="11" t="n"/>
      <c r="E113" s="13" t="n"/>
      <c r="L113" s="11" t="n"/>
    </row>
    <row r="114">
      <c r="C114" s="11" t="n"/>
      <c r="E114" s="13" t="n"/>
      <c r="L114" s="11" t="n"/>
    </row>
    <row r="115">
      <c r="C115" s="11" t="n"/>
      <c r="E115" s="13" t="n"/>
      <c r="L115" s="11" t="n"/>
    </row>
    <row r="116">
      <c r="C116" s="11" t="n"/>
      <c r="E116" s="13" t="n"/>
      <c r="L116" s="11" t="n"/>
    </row>
    <row r="117">
      <c r="C117" s="11" t="n"/>
      <c r="E117" s="13" t="n"/>
      <c r="L117" s="11" t="n"/>
    </row>
    <row r="118">
      <c r="C118" s="11" t="n"/>
      <c r="E118" s="13" t="n"/>
      <c r="L118" s="11" t="n"/>
    </row>
    <row r="119">
      <c r="C119" s="11" t="n"/>
      <c r="E119" s="13" t="n"/>
      <c r="L119" s="11" t="n"/>
    </row>
    <row r="120">
      <c r="C120" s="11" t="n"/>
      <c r="E120" s="13" t="n"/>
      <c r="L120" s="11" t="n"/>
    </row>
    <row r="121">
      <c r="C121" s="11" t="n"/>
      <c r="E121" s="13" t="n"/>
      <c r="L121" s="11" t="n"/>
    </row>
    <row r="122">
      <c r="C122" s="11" t="n"/>
      <c r="E122" s="13" t="n"/>
      <c r="L122" s="11" t="n"/>
    </row>
    <row r="123">
      <c r="C123" s="11" t="n"/>
      <c r="E123" s="13" t="n"/>
      <c r="L123" s="11" t="n"/>
    </row>
    <row r="124">
      <c r="C124" s="11" t="n"/>
      <c r="E124" s="13" t="n"/>
      <c r="L124" s="11" t="n"/>
    </row>
    <row r="125">
      <c r="C125" s="11" t="n"/>
      <c r="E125" s="13" t="n"/>
      <c r="L125" s="11" t="n"/>
    </row>
    <row r="126">
      <c r="C126" s="11" t="n"/>
      <c r="E126" s="13" t="n"/>
      <c r="L126" s="11" t="n"/>
    </row>
    <row r="127">
      <c r="C127" s="11" t="n"/>
      <c r="E127" s="13" t="n"/>
      <c r="L127" s="11" t="n"/>
    </row>
    <row r="128">
      <c r="C128" s="11" t="n"/>
      <c r="E128" s="13" t="n"/>
      <c r="L128" s="11" t="n"/>
    </row>
    <row r="129">
      <c r="C129" s="11" t="n"/>
      <c r="E129" s="13" t="n"/>
      <c r="L129" s="11" t="n"/>
    </row>
    <row r="130">
      <c r="C130" s="11" t="n"/>
      <c r="E130" s="13" t="n"/>
      <c r="L130" s="11" t="n"/>
    </row>
    <row r="131">
      <c r="C131" s="11" t="n"/>
      <c r="E131" s="13" t="n"/>
      <c r="L131" s="11" t="n"/>
    </row>
    <row r="132">
      <c r="C132" s="11" t="n"/>
      <c r="E132" s="13" t="n"/>
      <c r="L132" s="11" t="n"/>
    </row>
    <row r="133">
      <c r="C133" s="11" t="n"/>
      <c r="E133" s="13" t="n"/>
      <c r="L133" s="11" t="n"/>
    </row>
    <row r="134">
      <c r="C134" s="11" t="n"/>
      <c r="E134" s="13" t="n"/>
      <c r="L134" s="11" t="n"/>
    </row>
    <row r="135">
      <c r="C135" s="11" t="n"/>
      <c r="E135" s="13" t="n"/>
      <c r="L135" s="11" t="n"/>
    </row>
    <row r="136">
      <c r="C136" s="11" t="n"/>
      <c r="E136" s="13" t="n"/>
      <c r="L136" s="11" t="n"/>
    </row>
    <row r="137">
      <c r="C137" s="11" t="n"/>
      <c r="E137" s="13" t="n"/>
      <c r="L137" s="11" t="n"/>
    </row>
    <row r="138">
      <c r="C138" s="11" t="n"/>
      <c r="E138" s="13" t="n"/>
      <c r="L138" s="11" t="n"/>
    </row>
    <row r="139">
      <c r="C139" s="11" t="n"/>
      <c r="E139" s="13" t="n"/>
      <c r="L139" s="11" t="n"/>
    </row>
    <row r="140">
      <c r="C140" s="11" t="n"/>
      <c r="E140" s="13" t="n"/>
      <c r="L140" s="11" t="n"/>
    </row>
    <row r="141">
      <c r="C141" s="11" t="n"/>
      <c r="E141" s="13" t="n"/>
      <c r="L141" s="11" t="n"/>
    </row>
    <row r="142">
      <c r="C142" s="11" t="n"/>
      <c r="E142" s="13" t="n"/>
      <c r="L142" s="11" t="n"/>
    </row>
    <row r="143">
      <c r="C143" s="11" t="n"/>
      <c r="E143" s="13" t="n"/>
      <c r="L143" s="11" t="n"/>
    </row>
    <row r="144">
      <c r="C144" s="11" t="n"/>
      <c r="E144" s="13" t="n"/>
      <c r="L144" s="11" t="n"/>
    </row>
    <row r="145">
      <c r="C145" s="11" t="n"/>
      <c r="E145" s="13" t="n"/>
      <c r="L145" s="11" t="n"/>
    </row>
    <row r="146">
      <c r="C146" s="11" t="n"/>
      <c r="E146" s="13" t="n"/>
      <c r="L146" s="11" t="n"/>
    </row>
    <row r="147">
      <c r="C147" s="11" t="n"/>
      <c r="E147" s="13" t="n"/>
      <c r="L147" s="11" t="n"/>
    </row>
    <row r="148">
      <c r="C148" s="11" t="n"/>
      <c r="E148" s="13" t="n"/>
      <c r="L148" s="11" t="n"/>
    </row>
    <row r="149">
      <c r="C149" s="11" t="n"/>
      <c r="E149" s="13" t="n"/>
      <c r="L149" s="11" t="n"/>
    </row>
    <row r="150">
      <c r="C150" s="11" t="n"/>
      <c r="E150" s="13" t="n"/>
      <c r="L150" s="11" t="n"/>
    </row>
    <row r="151">
      <c r="C151" s="11" t="n"/>
      <c r="E151" s="13" t="n"/>
      <c r="L151" s="11" t="n"/>
    </row>
    <row r="152">
      <c r="C152" s="11" t="n"/>
      <c r="E152" s="13" t="n"/>
      <c r="L152" s="11" t="n"/>
    </row>
    <row r="153">
      <c r="C153" s="11" t="n"/>
      <c r="E153" s="13" t="n"/>
      <c r="L153" s="11" t="n"/>
    </row>
    <row r="154">
      <c r="C154" s="11" t="n"/>
      <c r="E154" s="13" t="n"/>
      <c r="L154" s="11" t="n"/>
    </row>
    <row r="155">
      <c r="C155" s="11" t="n"/>
      <c r="E155" s="13" t="n"/>
      <c r="L155" s="11" t="n"/>
    </row>
    <row r="156">
      <c r="C156" s="11" t="n"/>
      <c r="E156" s="13" t="n"/>
      <c r="L156" s="11" t="n"/>
    </row>
    <row r="157">
      <c r="C157" s="11" t="n"/>
      <c r="E157" s="13" t="n"/>
      <c r="L157" s="11" t="n"/>
    </row>
    <row r="158">
      <c r="C158" s="11" t="n"/>
      <c r="E158" s="13" t="n"/>
      <c r="L158" s="11" t="n"/>
    </row>
    <row r="159">
      <c r="C159" s="11" t="n"/>
      <c r="E159" s="13" t="n"/>
      <c r="L159" s="11" t="n"/>
    </row>
    <row r="160">
      <c r="C160" s="11" t="n"/>
      <c r="E160" s="13" t="n"/>
      <c r="L160" s="11" t="n"/>
    </row>
    <row r="161">
      <c r="C161" s="11" t="n"/>
      <c r="E161" s="13" t="n"/>
      <c r="L161" s="11" t="n"/>
    </row>
    <row r="162">
      <c r="C162" s="11" t="n"/>
      <c r="E162" s="13" t="n"/>
      <c r="L162" s="11" t="n"/>
    </row>
    <row r="163">
      <c r="C163" s="11" t="n"/>
      <c r="E163" s="13" t="n"/>
      <c r="L163" s="11" t="n"/>
    </row>
    <row r="164">
      <c r="C164" s="11" t="n"/>
      <c r="E164" s="13" t="n"/>
      <c r="L164" s="11" t="n"/>
    </row>
    <row r="165">
      <c r="C165" s="11" t="n"/>
      <c r="E165" s="13" t="n"/>
      <c r="L165" s="11" t="n"/>
    </row>
    <row r="166">
      <c r="C166" s="11" t="n"/>
      <c r="E166" s="13" t="n"/>
      <c r="L166" s="11" t="n"/>
    </row>
    <row r="167">
      <c r="C167" s="11" t="n"/>
      <c r="E167" s="13" t="n"/>
      <c r="L167" s="11" t="n"/>
    </row>
    <row r="168">
      <c r="C168" s="11" t="n"/>
      <c r="E168" s="13" t="n"/>
      <c r="L168" s="11" t="n"/>
    </row>
    <row r="169">
      <c r="C169" s="11" t="n"/>
      <c r="E169" s="13" t="n"/>
      <c r="L169" s="11" t="n"/>
    </row>
    <row r="170">
      <c r="C170" s="11" t="n"/>
      <c r="E170" s="13" t="n"/>
      <c r="L170" s="11" t="n"/>
    </row>
    <row r="171">
      <c r="C171" s="11" t="n"/>
      <c r="E171" s="13" t="n"/>
      <c r="L171" s="11" t="n"/>
    </row>
    <row r="172">
      <c r="C172" s="11" t="n"/>
      <c r="E172" s="13" t="n"/>
      <c r="L172" s="11" t="n"/>
    </row>
    <row r="173">
      <c r="C173" s="11" t="n"/>
      <c r="E173" s="13" t="n"/>
      <c r="L173" s="11" t="n"/>
    </row>
    <row r="174">
      <c r="C174" s="11" t="n"/>
      <c r="E174" s="13" t="n"/>
      <c r="L174" s="11" t="n"/>
    </row>
    <row r="175">
      <c r="C175" s="11" t="n"/>
      <c r="E175" s="13" t="n"/>
      <c r="L175" s="11" t="n"/>
    </row>
    <row r="176">
      <c r="C176" s="11" t="n"/>
      <c r="E176" s="13" t="n"/>
      <c r="L176" s="11" t="n"/>
    </row>
    <row r="177">
      <c r="C177" s="11" t="n"/>
      <c r="E177" s="13" t="n"/>
      <c r="L177" s="11" t="n"/>
    </row>
    <row r="178">
      <c r="C178" s="11" t="n"/>
      <c r="E178" s="13" t="n"/>
      <c r="L178" s="11" t="n"/>
    </row>
    <row r="179">
      <c r="C179" s="11" t="n"/>
      <c r="E179" s="13" t="n"/>
      <c r="L179" s="11" t="n"/>
    </row>
    <row r="180">
      <c r="C180" s="11" t="n"/>
      <c r="E180" s="13" t="n"/>
      <c r="L180" s="11" t="n"/>
    </row>
    <row r="181">
      <c r="C181" s="11" t="n"/>
      <c r="E181" s="13" t="n"/>
      <c r="L181" s="11" t="n"/>
    </row>
    <row r="182">
      <c r="C182" s="11" t="n"/>
      <c r="E182" s="13" t="n"/>
      <c r="L182" s="11" t="n"/>
    </row>
    <row r="183">
      <c r="C183" s="11" t="n"/>
      <c r="E183" s="13" t="n"/>
      <c r="L183" s="11" t="n"/>
    </row>
    <row r="184">
      <c r="C184" s="11" t="n"/>
      <c r="E184" s="13" t="n"/>
      <c r="L184" s="11" t="n"/>
    </row>
    <row r="185">
      <c r="C185" s="11" t="n"/>
      <c r="E185" s="13" t="n"/>
      <c r="L185" s="11" t="n"/>
    </row>
    <row r="186">
      <c r="C186" s="11" t="n"/>
      <c r="E186" s="13" t="n"/>
      <c r="L186" s="11" t="n"/>
    </row>
    <row r="187">
      <c r="C187" s="11" t="n"/>
      <c r="E187" s="13" t="n"/>
      <c r="L187" s="11" t="n"/>
    </row>
    <row r="188">
      <c r="C188" s="11" t="n"/>
      <c r="E188" s="13" t="n"/>
      <c r="L188" s="11" t="n"/>
    </row>
    <row r="189">
      <c r="C189" s="11" t="n"/>
      <c r="E189" s="13" t="n"/>
      <c r="L189" s="11" t="n"/>
    </row>
    <row r="190">
      <c r="C190" s="11" t="n"/>
      <c r="E190" s="13" t="n"/>
      <c r="L190" s="11" t="n"/>
    </row>
    <row r="191">
      <c r="C191" s="11" t="n"/>
      <c r="E191" s="13" t="n"/>
      <c r="L191" s="11" t="n"/>
    </row>
    <row r="192">
      <c r="C192" s="11" t="n"/>
      <c r="E192" s="13" t="n"/>
      <c r="L192" s="11" t="n"/>
    </row>
    <row r="193">
      <c r="C193" s="11" t="n"/>
      <c r="E193" s="13" t="n"/>
      <c r="L193" s="11" t="n"/>
    </row>
    <row r="194">
      <c r="C194" s="11" t="n"/>
      <c r="E194" s="13" t="n"/>
      <c r="L194" s="11" t="n"/>
    </row>
    <row r="195">
      <c r="C195" s="11" t="n"/>
      <c r="E195" s="13" t="n"/>
      <c r="L195" s="11" t="n"/>
    </row>
    <row r="196">
      <c r="C196" s="11" t="n"/>
      <c r="E196" s="13" t="n"/>
      <c r="L196" s="11" t="n"/>
    </row>
    <row r="197">
      <c r="C197" s="11" t="n"/>
      <c r="E197" s="13" t="n"/>
      <c r="L197" s="11" t="n"/>
    </row>
    <row r="198">
      <c r="C198" s="11" t="n"/>
      <c r="E198" s="13" t="n"/>
      <c r="L198" s="11" t="n"/>
    </row>
    <row r="199">
      <c r="C199" s="11" t="n"/>
      <c r="E199" s="13" t="n"/>
      <c r="L199" s="11" t="n"/>
    </row>
    <row r="200">
      <c r="C200" s="11" t="n"/>
      <c r="E200" s="13" t="n"/>
      <c r="L200" s="11" t="n"/>
    </row>
    <row r="201">
      <c r="C201" s="11" t="n"/>
      <c r="E201" s="13" t="n"/>
      <c r="L201" s="11" t="n"/>
    </row>
    <row r="202">
      <c r="C202" s="11" t="n"/>
      <c r="E202" s="13" t="n"/>
      <c r="L202" s="11" t="n"/>
    </row>
    <row r="203">
      <c r="C203" s="11" t="n"/>
      <c r="E203" s="13" t="n"/>
      <c r="L203" s="11" t="n"/>
    </row>
    <row r="204">
      <c r="C204" s="11" t="n"/>
      <c r="E204" s="13" t="n"/>
      <c r="L204" s="11" t="n"/>
    </row>
    <row r="205">
      <c r="C205" s="11" t="n"/>
      <c r="E205" s="13" t="n"/>
      <c r="L205" s="11" t="n"/>
    </row>
    <row r="206">
      <c r="C206" s="11" t="n"/>
      <c r="E206" s="13" t="n"/>
      <c r="L206" s="11" t="n"/>
    </row>
    <row r="207">
      <c r="C207" s="11" t="n"/>
      <c r="E207" s="13" t="n"/>
      <c r="L207" s="11" t="n"/>
    </row>
    <row r="208">
      <c r="C208" s="11" t="n"/>
      <c r="E208" s="13" t="n"/>
      <c r="L208" s="11" t="n"/>
    </row>
    <row r="209">
      <c r="C209" s="11" t="n"/>
      <c r="E209" s="13" t="n"/>
      <c r="L209" s="11" t="n"/>
    </row>
    <row r="210">
      <c r="C210" s="11" t="n"/>
      <c r="E210" s="13" t="n"/>
      <c r="L210" s="11" t="n"/>
    </row>
    <row r="211">
      <c r="C211" s="11" t="n"/>
      <c r="E211" s="13" t="n"/>
      <c r="L211" s="11" t="n"/>
    </row>
    <row r="212">
      <c r="C212" s="11" t="n"/>
      <c r="E212" s="13" t="n"/>
      <c r="L212" s="11" t="n"/>
    </row>
    <row r="213">
      <c r="C213" s="11" t="n"/>
      <c r="E213" s="13" t="n"/>
      <c r="L213" s="11" t="n"/>
    </row>
    <row r="214">
      <c r="C214" s="11" t="n"/>
      <c r="E214" s="13" t="n"/>
      <c r="L214" s="11" t="n"/>
    </row>
    <row r="215">
      <c r="C215" s="11" t="n"/>
      <c r="E215" s="13" t="n"/>
      <c r="L215" s="11" t="n"/>
    </row>
    <row r="216">
      <c r="C216" s="11" t="n"/>
      <c r="E216" s="13" t="n"/>
      <c r="L216" s="11" t="n"/>
    </row>
    <row r="217">
      <c r="C217" s="11" t="n"/>
      <c r="E217" s="13" t="n"/>
      <c r="L217" s="11" t="n"/>
    </row>
    <row r="218">
      <c r="C218" s="11" t="n"/>
      <c r="E218" s="13" t="n"/>
      <c r="L218" s="11" t="n"/>
    </row>
    <row r="219">
      <c r="C219" s="11" t="n"/>
      <c r="E219" s="13" t="n"/>
      <c r="L219" s="11" t="n"/>
    </row>
    <row r="220">
      <c r="C220" s="11" t="n"/>
      <c r="E220" s="13" t="n"/>
      <c r="L220" s="11" t="n"/>
    </row>
    <row r="221">
      <c r="C221" s="11" t="n"/>
      <c r="E221" s="13" t="n"/>
      <c r="L221" s="11" t="n"/>
    </row>
    <row r="222">
      <c r="C222" s="11" t="n"/>
      <c r="E222" s="13" t="n"/>
      <c r="L222" s="11" t="n"/>
    </row>
    <row r="223">
      <c r="C223" s="11" t="n"/>
      <c r="E223" s="13" t="n"/>
      <c r="L223" s="11" t="n"/>
    </row>
    <row r="224">
      <c r="C224" s="11" t="n"/>
      <c r="E224" s="13" t="n"/>
      <c r="L224" s="11" t="n"/>
    </row>
    <row r="225">
      <c r="C225" s="11" t="n"/>
      <c r="E225" s="13" t="n"/>
      <c r="L225" s="11" t="n"/>
    </row>
    <row r="226">
      <c r="C226" s="11" t="n"/>
      <c r="E226" s="13" t="n"/>
      <c r="L226" s="11" t="n"/>
    </row>
    <row r="227">
      <c r="C227" s="11" t="n"/>
      <c r="E227" s="13" t="n"/>
      <c r="L227" s="11" t="n"/>
    </row>
    <row r="228">
      <c r="C228" s="11" t="n"/>
      <c r="E228" s="13" t="n"/>
      <c r="L228" s="11" t="n"/>
    </row>
    <row r="229">
      <c r="C229" s="11" t="n"/>
      <c r="E229" s="13" t="n"/>
      <c r="L229" s="11" t="n"/>
    </row>
    <row r="230">
      <c r="C230" s="11" t="n"/>
      <c r="E230" s="13" t="n"/>
      <c r="L230" s="11" t="n"/>
    </row>
    <row r="231">
      <c r="C231" s="11" t="n"/>
      <c r="E231" s="13" t="n"/>
      <c r="L231" s="11" t="n"/>
    </row>
    <row r="232">
      <c r="C232" s="11" t="n"/>
      <c r="E232" s="13" t="n"/>
      <c r="L232" s="11" t="n"/>
    </row>
    <row r="233">
      <c r="C233" s="11" t="n"/>
      <c r="E233" s="13" t="n"/>
      <c r="L233" s="11" t="n"/>
    </row>
    <row r="234">
      <c r="C234" s="11" t="n"/>
      <c r="E234" s="13" t="n"/>
      <c r="L234" s="11" t="n"/>
    </row>
    <row r="235">
      <c r="C235" s="11" t="n"/>
      <c r="E235" s="13" t="n"/>
      <c r="L235" s="11" t="n"/>
    </row>
    <row r="236">
      <c r="C236" s="11" t="n"/>
      <c r="E236" s="13" t="n"/>
      <c r="L236" s="11" t="n"/>
    </row>
    <row r="237">
      <c r="C237" s="11" t="n"/>
      <c r="E237" s="13" t="n"/>
      <c r="L237" s="11" t="n"/>
    </row>
    <row r="238">
      <c r="C238" s="11" t="n"/>
      <c r="E238" s="13" t="n"/>
      <c r="L238" s="11" t="n"/>
    </row>
    <row r="239">
      <c r="C239" s="11" t="n"/>
      <c r="E239" s="13" t="n"/>
      <c r="L239" s="11" t="n"/>
    </row>
    <row r="240">
      <c r="C240" s="11" t="n"/>
      <c r="E240" s="13" t="n"/>
      <c r="L240" s="11" t="n"/>
    </row>
    <row r="241">
      <c r="C241" s="11" t="n"/>
      <c r="E241" s="13" t="n"/>
      <c r="L241" s="11" t="n"/>
    </row>
    <row r="242">
      <c r="C242" s="11" t="n"/>
      <c r="E242" s="13" t="n"/>
      <c r="L242" s="11" t="n"/>
    </row>
    <row r="243">
      <c r="C243" s="11" t="n"/>
      <c r="E243" s="13" t="n"/>
      <c r="L243" s="11" t="n"/>
    </row>
    <row r="244">
      <c r="C244" s="11" t="n"/>
      <c r="E244" s="13" t="n"/>
      <c r="L244" s="11" t="n"/>
    </row>
    <row r="245">
      <c r="C245" s="11" t="n"/>
      <c r="E245" s="13" t="n"/>
      <c r="L245" s="11" t="n"/>
    </row>
    <row r="246">
      <c r="C246" s="11" t="n"/>
      <c r="E246" s="13" t="n"/>
      <c r="L246" s="11" t="n"/>
    </row>
    <row r="247">
      <c r="C247" s="11" t="n"/>
      <c r="E247" s="13" t="n"/>
      <c r="L247" s="11" t="n"/>
    </row>
    <row r="248">
      <c r="C248" s="11" t="n"/>
      <c r="E248" s="13" t="n"/>
      <c r="L248" s="11" t="n"/>
    </row>
    <row r="249">
      <c r="C249" s="11" t="n"/>
      <c r="E249" s="13" t="n"/>
      <c r="L249" s="11" t="n"/>
    </row>
    <row r="250">
      <c r="C250" s="11" t="n"/>
      <c r="E250" s="13" t="n"/>
      <c r="L250" s="11" t="n"/>
    </row>
    <row r="251">
      <c r="C251" s="11" t="n"/>
      <c r="E251" s="13" t="n"/>
      <c r="L251" s="11" t="n"/>
    </row>
    <row r="252">
      <c r="C252" s="11" t="n"/>
      <c r="E252" s="13" t="n"/>
      <c r="L252" s="11" t="n"/>
    </row>
    <row r="253">
      <c r="C253" s="11" t="n"/>
      <c r="E253" s="13" t="n"/>
      <c r="L253" s="11" t="n"/>
    </row>
    <row r="254">
      <c r="C254" s="11" t="n"/>
      <c r="E254" s="13" t="n"/>
      <c r="L254" s="11" t="n"/>
    </row>
    <row r="255">
      <c r="C255" s="11" t="n"/>
      <c r="E255" s="13" t="n"/>
      <c r="L255" s="11" t="n"/>
    </row>
    <row r="256">
      <c r="C256" s="11" t="n"/>
      <c r="E256" s="13" t="n"/>
      <c r="L256" s="11" t="n"/>
    </row>
    <row r="257">
      <c r="C257" s="11" t="n"/>
      <c r="E257" s="13" t="n"/>
      <c r="L257" s="11" t="n"/>
    </row>
    <row r="258">
      <c r="C258" s="11" t="n"/>
      <c r="E258" s="13" t="n"/>
      <c r="L258" s="11" t="n"/>
    </row>
    <row r="259">
      <c r="C259" s="11" t="n"/>
      <c r="E259" s="13" t="n"/>
      <c r="L259" s="11" t="n"/>
    </row>
    <row r="260">
      <c r="C260" s="11" t="n"/>
      <c r="E260" s="13" t="n"/>
      <c r="L260" s="11" t="n"/>
    </row>
    <row r="261">
      <c r="C261" s="11" t="n"/>
      <c r="E261" s="13" t="n"/>
      <c r="L261" s="11" t="n"/>
    </row>
    <row r="262">
      <c r="C262" s="11" t="n"/>
      <c r="E262" s="13" t="n"/>
      <c r="L262" s="11" t="n"/>
    </row>
    <row r="263">
      <c r="C263" s="11" t="n"/>
      <c r="E263" s="13" t="n"/>
      <c r="L263" s="11" t="n"/>
    </row>
    <row r="264">
      <c r="C264" s="11" t="n"/>
      <c r="E264" s="13" t="n"/>
      <c r="L264" s="11" t="n"/>
    </row>
    <row r="265">
      <c r="C265" s="11" t="n"/>
      <c r="E265" s="13" t="n"/>
      <c r="L265" s="11" t="n"/>
    </row>
    <row r="266">
      <c r="C266" s="11" t="n"/>
      <c r="E266" s="13" t="n"/>
      <c r="L266" s="11" t="n"/>
    </row>
    <row r="267">
      <c r="C267" s="11" t="n"/>
      <c r="E267" s="13" t="n"/>
      <c r="L267" s="11" t="n"/>
    </row>
    <row r="268">
      <c r="C268" s="11" t="n"/>
      <c r="E268" s="13" t="n"/>
      <c r="L268" s="11" t="n"/>
    </row>
    <row r="269">
      <c r="C269" s="11" t="n"/>
      <c r="E269" s="13" t="n"/>
      <c r="L269" s="11" t="n"/>
    </row>
    <row r="270">
      <c r="C270" s="11" t="n"/>
      <c r="E270" s="13" t="n"/>
      <c r="L270" s="11" t="n"/>
    </row>
    <row r="271">
      <c r="C271" s="11" t="n"/>
      <c r="E271" s="13" t="n"/>
      <c r="L271" s="11" t="n"/>
    </row>
    <row r="272">
      <c r="C272" s="11" t="n"/>
      <c r="E272" s="13" t="n"/>
      <c r="L272" s="11" t="n"/>
    </row>
    <row r="273">
      <c r="C273" s="11" t="n"/>
      <c r="E273" s="13" t="n"/>
      <c r="L273" s="11" t="n"/>
    </row>
    <row r="274">
      <c r="C274" s="11" t="n"/>
      <c r="E274" s="13" t="n"/>
      <c r="L274" s="11" t="n"/>
    </row>
    <row r="275">
      <c r="C275" s="11" t="n"/>
      <c r="E275" s="13" t="n"/>
      <c r="L275" s="11" t="n"/>
    </row>
    <row r="276">
      <c r="C276" s="11" t="n"/>
      <c r="E276" s="13" t="n"/>
      <c r="L276" s="11" t="n"/>
    </row>
    <row r="277">
      <c r="C277" s="11" t="n"/>
      <c r="E277" s="13" t="n"/>
      <c r="L277" s="11" t="n"/>
    </row>
    <row r="278">
      <c r="C278" s="11" t="n"/>
      <c r="E278" s="13" t="n"/>
      <c r="L278" s="11" t="n"/>
    </row>
    <row r="279">
      <c r="C279" s="11" t="n"/>
      <c r="E279" s="13" t="n"/>
      <c r="L279" s="11" t="n"/>
    </row>
    <row r="280">
      <c r="C280" s="11" t="n"/>
      <c r="E280" s="13" t="n"/>
      <c r="L280" s="11" t="n"/>
    </row>
    <row r="281">
      <c r="C281" s="11" t="n"/>
      <c r="E281" s="13" t="n"/>
      <c r="L281" s="11" t="n"/>
    </row>
    <row r="282">
      <c r="C282" s="11" t="n"/>
      <c r="E282" s="13" t="n"/>
      <c r="L282" s="11" t="n"/>
    </row>
    <row r="283">
      <c r="C283" s="11" t="n"/>
      <c r="E283" s="13" t="n"/>
      <c r="L283" s="11" t="n"/>
    </row>
    <row r="284">
      <c r="C284" s="11" t="n"/>
      <c r="E284" s="13" t="n"/>
      <c r="L284" s="11" t="n"/>
    </row>
    <row r="285">
      <c r="C285" s="11" t="n"/>
      <c r="E285" s="13" t="n"/>
      <c r="L285" s="11" t="n"/>
    </row>
    <row r="286">
      <c r="C286" s="11" t="n"/>
      <c r="E286" s="13" t="n"/>
      <c r="L286" s="11" t="n"/>
    </row>
    <row r="287">
      <c r="C287" s="11" t="n"/>
      <c r="E287" s="13" t="n"/>
      <c r="L287" s="11" t="n"/>
    </row>
    <row r="288">
      <c r="C288" s="11" t="n"/>
      <c r="E288" s="13" t="n"/>
      <c r="L288" s="11" t="n"/>
    </row>
    <row r="289">
      <c r="C289" s="11" t="n"/>
      <c r="E289" s="13" t="n"/>
      <c r="L289" s="11" t="n"/>
    </row>
    <row r="290">
      <c r="C290" s="11" t="n"/>
      <c r="E290" s="13" t="n"/>
      <c r="L290" s="11" t="n"/>
    </row>
    <row r="291">
      <c r="C291" s="11" t="n"/>
      <c r="E291" s="13" t="n"/>
      <c r="L291" s="11" t="n"/>
    </row>
    <row r="292">
      <c r="C292" s="11" t="n"/>
      <c r="E292" s="13" t="n"/>
      <c r="L292" s="11" t="n"/>
    </row>
    <row r="293">
      <c r="C293" s="11" t="n"/>
      <c r="E293" s="13" t="n"/>
      <c r="L293" s="11" t="n"/>
    </row>
    <row r="294">
      <c r="C294" s="11" t="n"/>
      <c r="E294" s="13" t="n"/>
      <c r="L294" s="11" t="n"/>
    </row>
    <row r="295">
      <c r="C295" s="11" t="n"/>
      <c r="E295" s="13" t="n"/>
      <c r="L295" s="11" t="n"/>
    </row>
    <row r="296">
      <c r="C296" s="11" t="n"/>
      <c r="E296" s="13" t="n"/>
      <c r="L296" s="11" t="n"/>
    </row>
    <row r="297">
      <c r="C297" s="11" t="n"/>
      <c r="E297" s="13" t="n"/>
      <c r="L297" s="11" t="n"/>
    </row>
    <row r="298">
      <c r="C298" s="11" t="n"/>
      <c r="E298" s="13" t="n"/>
      <c r="L298" s="11" t="n"/>
    </row>
    <row r="299">
      <c r="C299" s="11" t="n"/>
      <c r="E299" s="13" t="n"/>
      <c r="L299" s="11" t="n"/>
    </row>
    <row r="300">
      <c r="C300" s="11" t="n"/>
      <c r="E300" s="13" t="n"/>
      <c r="L300" s="11" t="n"/>
    </row>
    <row r="301">
      <c r="C301" s="11" t="n"/>
      <c r="E301" s="13" t="n"/>
      <c r="L301" s="11" t="n"/>
    </row>
    <row r="302">
      <c r="C302" s="11" t="n"/>
      <c r="E302" s="13" t="n"/>
      <c r="L302" s="11" t="n"/>
    </row>
    <row r="303">
      <c r="C303" s="11" t="n"/>
      <c r="E303" s="13" t="n"/>
      <c r="L303" s="11" t="n"/>
    </row>
    <row r="304">
      <c r="C304" s="11" t="n"/>
      <c r="E304" s="13" t="n"/>
      <c r="L304" s="11" t="n"/>
    </row>
    <row r="305">
      <c r="C305" s="11" t="n"/>
      <c r="E305" s="13" t="n"/>
      <c r="L305" s="11" t="n"/>
    </row>
    <row r="306">
      <c r="C306" s="11" t="n"/>
      <c r="E306" s="13" t="n"/>
      <c r="L306" s="11" t="n"/>
    </row>
    <row r="307">
      <c r="C307" s="11" t="n"/>
      <c r="E307" s="13" t="n"/>
      <c r="L307" s="11" t="n"/>
    </row>
    <row r="308">
      <c r="C308" s="11" t="n"/>
      <c r="E308" s="13" t="n"/>
      <c r="L308" s="11" t="n"/>
    </row>
    <row r="309">
      <c r="C309" s="11" t="n"/>
      <c r="E309" s="13" t="n"/>
      <c r="L309" s="11" t="n"/>
    </row>
    <row r="310">
      <c r="C310" s="11" t="n"/>
      <c r="E310" s="13" t="n"/>
      <c r="L310" s="11" t="n"/>
    </row>
    <row r="311">
      <c r="C311" s="11" t="n"/>
      <c r="E311" s="13" t="n"/>
      <c r="L311" s="11" t="n"/>
    </row>
    <row r="312">
      <c r="C312" s="11" t="n"/>
      <c r="E312" s="13" t="n"/>
      <c r="L312" s="11" t="n"/>
    </row>
    <row r="313">
      <c r="C313" s="11" t="n"/>
      <c r="E313" s="13" t="n"/>
      <c r="L313" s="11" t="n"/>
    </row>
    <row r="314">
      <c r="C314" s="11" t="n"/>
      <c r="E314" s="13" t="n"/>
      <c r="L314" s="11" t="n"/>
    </row>
    <row r="315">
      <c r="C315" s="11" t="n"/>
      <c r="E315" s="13" t="n"/>
      <c r="L315" s="11" t="n"/>
    </row>
    <row r="316">
      <c r="C316" s="11" t="n"/>
      <c r="E316" s="13" t="n"/>
      <c r="L316" s="11" t="n"/>
    </row>
    <row r="317">
      <c r="C317" s="11" t="n"/>
      <c r="E317" s="13" t="n"/>
      <c r="L317" s="11" t="n"/>
    </row>
    <row r="318">
      <c r="C318" s="11" t="n"/>
      <c r="E318" s="13" t="n"/>
      <c r="L318" s="11" t="n"/>
    </row>
    <row r="319">
      <c r="C319" s="11" t="n"/>
      <c r="E319" s="13" t="n"/>
      <c r="L319" s="11" t="n"/>
    </row>
    <row r="320">
      <c r="C320" s="11" t="n"/>
      <c r="E320" s="13" t="n"/>
      <c r="L320" s="11" t="n"/>
    </row>
    <row r="321">
      <c r="C321" s="11" t="n"/>
      <c r="E321" s="13" t="n"/>
      <c r="L321" s="11" t="n"/>
    </row>
    <row r="322">
      <c r="C322" s="11" t="n"/>
      <c r="E322" s="13" t="n"/>
      <c r="L322" s="11" t="n"/>
    </row>
    <row r="323">
      <c r="C323" s="11" t="n"/>
      <c r="E323" s="13" t="n"/>
      <c r="L323" s="11" t="n"/>
    </row>
    <row r="324">
      <c r="C324" s="11" t="n"/>
      <c r="E324" s="13" t="n"/>
      <c r="L324" s="11" t="n"/>
    </row>
    <row r="325">
      <c r="C325" s="11" t="n"/>
      <c r="E325" s="13" t="n"/>
      <c r="L325" s="11" t="n"/>
    </row>
    <row r="326">
      <c r="C326" s="11" t="n"/>
      <c r="E326" s="13" t="n"/>
      <c r="L326" s="11" t="n"/>
    </row>
    <row r="327">
      <c r="C327" s="11" t="n"/>
      <c r="E327" s="13" t="n"/>
      <c r="L327" s="11" t="n"/>
    </row>
    <row r="328">
      <c r="C328" s="11" t="n"/>
      <c r="E328" s="13" t="n"/>
      <c r="L328" s="11" t="n"/>
    </row>
    <row r="329">
      <c r="C329" s="11" t="n"/>
      <c r="E329" s="13" t="n"/>
      <c r="L329" s="11" t="n"/>
    </row>
    <row r="330">
      <c r="C330" s="11" t="n"/>
      <c r="E330" s="13" t="n"/>
      <c r="L330" s="11" t="n"/>
    </row>
    <row r="331">
      <c r="C331" s="11" t="n"/>
      <c r="E331" s="13" t="n"/>
      <c r="L331" s="11" t="n"/>
    </row>
    <row r="332">
      <c r="C332" s="11" t="n"/>
      <c r="E332" s="13" t="n"/>
      <c r="L332" s="11" t="n"/>
    </row>
    <row r="333">
      <c r="C333" s="11" t="n"/>
      <c r="E333" s="13" t="n"/>
      <c r="L333" s="11" t="n"/>
    </row>
    <row r="334">
      <c r="C334" s="11" t="n"/>
      <c r="E334" s="13" t="n"/>
      <c r="L334" s="11" t="n"/>
    </row>
    <row r="335">
      <c r="C335" s="11" t="n"/>
      <c r="E335" s="13" t="n"/>
      <c r="L335" s="11" t="n"/>
    </row>
    <row r="336">
      <c r="C336" s="11" t="n"/>
      <c r="E336" s="13" t="n"/>
      <c r="L336" s="11" t="n"/>
    </row>
    <row r="337">
      <c r="C337" s="11" t="n"/>
      <c r="E337" s="13" t="n"/>
      <c r="L337" s="11" t="n"/>
    </row>
    <row r="338">
      <c r="C338" s="11" t="n"/>
      <c r="E338" s="13" t="n"/>
      <c r="L338" s="11" t="n"/>
    </row>
    <row r="339">
      <c r="C339" s="11" t="n"/>
      <c r="E339" s="13" t="n"/>
      <c r="L339" s="11" t="n"/>
    </row>
    <row r="340">
      <c r="C340" s="11" t="n"/>
      <c r="E340" s="13" t="n"/>
      <c r="L340" s="11" t="n"/>
    </row>
    <row r="341">
      <c r="C341" s="11" t="n"/>
      <c r="E341" s="13" t="n"/>
      <c r="L341" s="11" t="n"/>
    </row>
    <row r="342">
      <c r="C342" s="11" t="n"/>
      <c r="E342" s="13" t="n"/>
      <c r="L342" s="11" t="n"/>
    </row>
    <row r="343">
      <c r="C343" s="11" t="n"/>
      <c r="E343" s="13" t="n"/>
      <c r="L343" s="11" t="n"/>
    </row>
    <row r="344">
      <c r="C344" s="11" t="n"/>
      <c r="E344" s="13" t="n"/>
      <c r="L344" s="11" t="n"/>
    </row>
    <row r="345">
      <c r="C345" s="11" t="n"/>
      <c r="E345" s="13" t="n"/>
      <c r="L345" s="11" t="n"/>
    </row>
    <row r="346">
      <c r="C346" s="11" t="n"/>
      <c r="E346" s="13" t="n"/>
      <c r="L346" s="11" t="n"/>
    </row>
    <row r="347">
      <c r="C347" s="11" t="n"/>
      <c r="E347" s="13" t="n"/>
      <c r="L347" s="11" t="n"/>
    </row>
    <row r="348">
      <c r="C348" s="11" t="n"/>
      <c r="E348" s="13" t="n"/>
      <c r="L348" s="11" t="n"/>
    </row>
    <row r="349">
      <c r="C349" s="11" t="n"/>
      <c r="E349" s="13" t="n"/>
      <c r="L349" s="11" t="n"/>
    </row>
    <row r="350">
      <c r="C350" s="11" t="n"/>
      <c r="E350" s="13" t="n"/>
      <c r="L350" s="11" t="n"/>
    </row>
    <row r="351">
      <c r="C351" s="11" t="n"/>
      <c r="E351" s="13" t="n"/>
      <c r="L351" s="11" t="n"/>
    </row>
    <row r="352">
      <c r="C352" s="11" t="n"/>
      <c r="E352" s="13" t="n"/>
      <c r="L352" s="11" t="n"/>
    </row>
    <row r="353">
      <c r="C353" s="11" t="n"/>
      <c r="E353" s="13" t="n"/>
      <c r="L353" s="11" t="n"/>
    </row>
    <row r="354">
      <c r="C354" s="11" t="n"/>
      <c r="E354" s="13" t="n"/>
      <c r="L354" s="11" t="n"/>
    </row>
    <row r="355">
      <c r="C355" s="11" t="n"/>
      <c r="E355" s="13" t="n"/>
      <c r="L355" s="11" t="n"/>
    </row>
    <row r="356">
      <c r="C356" s="11" t="n"/>
      <c r="E356" s="13" t="n"/>
      <c r="L356" s="11" t="n"/>
    </row>
    <row r="357">
      <c r="C357" s="11" t="n"/>
      <c r="E357" s="13" t="n"/>
      <c r="L357" s="11" t="n"/>
    </row>
    <row r="358">
      <c r="C358" s="11" t="n"/>
      <c r="E358" s="13" t="n"/>
      <c r="L358" s="11" t="n"/>
    </row>
    <row r="359">
      <c r="C359" s="11" t="n"/>
      <c r="E359" s="13" t="n"/>
      <c r="L359" s="11" t="n"/>
    </row>
    <row r="360">
      <c r="C360" s="11" t="n"/>
      <c r="E360" s="13" t="n"/>
      <c r="L360" s="11" t="n"/>
    </row>
    <row r="361">
      <c r="C361" s="11" t="n"/>
      <c r="E361" s="13" t="n"/>
      <c r="L361" s="11" t="n"/>
    </row>
    <row r="362">
      <c r="C362" s="11" t="n"/>
      <c r="E362" s="13" t="n"/>
      <c r="L362" s="11" t="n"/>
    </row>
    <row r="363">
      <c r="C363" s="11" t="n"/>
      <c r="E363" s="13" t="n"/>
      <c r="L363" s="11" t="n"/>
    </row>
    <row r="364">
      <c r="C364" s="11" t="n"/>
      <c r="E364" s="13" t="n"/>
      <c r="L364" s="11" t="n"/>
    </row>
    <row r="365">
      <c r="C365" s="11" t="n"/>
      <c r="E365" s="13" t="n"/>
      <c r="L365" s="11" t="n"/>
    </row>
    <row r="366">
      <c r="C366" s="11" t="n"/>
      <c r="E366" s="13" t="n"/>
      <c r="L366" s="11" t="n"/>
    </row>
    <row r="367">
      <c r="C367" s="11" t="n"/>
      <c r="E367" s="13" t="n"/>
      <c r="L367" s="11" t="n"/>
    </row>
    <row r="368">
      <c r="C368" s="11" t="n"/>
      <c r="E368" s="13" t="n"/>
      <c r="L368" s="11" t="n"/>
    </row>
    <row r="369">
      <c r="C369" s="11" t="n"/>
      <c r="E369" s="13" t="n"/>
      <c r="L369" s="11" t="n"/>
    </row>
    <row r="370">
      <c r="C370" s="11" t="n"/>
      <c r="E370" s="13" t="n"/>
      <c r="L370" s="11" t="n"/>
    </row>
    <row r="371">
      <c r="C371" s="11" t="n"/>
      <c r="E371" s="13" t="n"/>
      <c r="L371" s="11" t="n"/>
    </row>
    <row r="372">
      <c r="C372" s="11" t="n"/>
      <c r="E372" s="13" t="n"/>
      <c r="L372" s="11" t="n"/>
    </row>
    <row r="373">
      <c r="C373" s="11" t="n"/>
      <c r="E373" s="13" t="n"/>
      <c r="L373" s="11" t="n"/>
    </row>
    <row r="374">
      <c r="C374" s="11" t="n"/>
      <c r="E374" s="13" t="n"/>
      <c r="L374" s="11" t="n"/>
    </row>
    <row r="375">
      <c r="C375" s="11" t="n"/>
      <c r="E375" s="13" t="n"/>
      <c r="L375" s="11" t="n"/>
    </row>
    <row r="376">
      <c r="C376" s="11" t="n"/>
      <c r="E376" s="13" t="n"/>
      <c r="L376" s="11" t="n"/>
    </row>
    <row r="377">
      <c r="C377" s="11" t="n"/>
      <c r="E377" s="13" t="n"/>
      <c r="L377" s="11" t="n"/>
    </row>
    <row r="378">
      <c r="C378" s="11" t="n"/>
      <c r="E378" s="13" t="n"/>
      <c r="L378" s="11" t="n"/>
    </row>
    <row r="379">
      <c r="C379" s="11" t="n"/>
      <c r="E379" s="13" t="n"/>
      <c r="L379" s="11" t="n"/>
    </row>
    <row r="380">
      <c r="C380" s="11" t="n"/>
      <c r="E380" s="13" t="n"/>
      <c r="L380" s="11" t="n"/>
    </row>
    <row r="381">
      <c r="C381" s="11" t="n"/>
      <c r="E381" s="13" t="n"/>
      <c r="L381" s="11" t="n"/>
    </row>
    <row r="382">
      <c r="C382" s="11" t="n"/>
      <c r="E382" s="13" t="n"/>
      <c r="L382" s="11" t="n"/>
    </row>
    <row r="383">
      <c r="C383" s="11" t="n"/>
      <c r="E383" s="13" t="n"/>
      <c r="L383" s="11" t="n"/>
    </row>
    <row r="384">
      <c r="C384" s="11" t="n"/>
      <c r="E384" s="13" t="n"/>
      <c r="L384" s="11" t="n"/>
    </row>
    <row r="385">
      <c r="C385" s="11" t="n"/>
      <c r="E385" s="13" t="n"/>
      <c r="L385" s="11" t="n"/>
    </row>
    <row r="386">
      <c r="C386" s="11" t="n"/>
      <c r="E386" s="13" t="n"/>
      <c r="L386" s="11" t="n"/>
    </row>
    <row r="387">
      <c r="C387" s="11" t="n"/>
      <c r="E387" s="13" t="n"/>
      <c r="L387" s="11" t="n"/>
    </row>
    <row r="388">
      <c r="C388" s="11" t="n"/>
      <c r="E388" s="13" t="n"/>
      <c r="L388" s="11" t="n"/>
    </row>
    <row r="389">
      <c r="C389" s="11" t="n"/>
      <c r="E389" s="13" t="n"/>
      <c r="L389" s="11" t="n"/>
    </row>
    <row r="390">
      <c r="C390" s="11" t="n"/>
      <c r="E390" s="13" t="n"/>
      <c r="L390" s="11" t="n"/>
    </row>
    <row r="391">
      <c r="C391" s="11" t="n"/>
      <c r="E391" s="13" t="n"/>
      <c r="L391" s="11" t="n"/>
    </row>
    <row r="392">
      <c r="C392" s="11" t="n"/>
      <c r="E392" s="13" t="n"/>
      <c r="L392" s="11" t="n"/>
    </row>
    <row r="393">
      <c r="C393" s="11" t="n"/>
      <c r="E393" s="13" t="n"/>
      <c r="L393" s="11" t="n"/>
    </row>
    <row r="394">
      <c r="C394" s="11" t="n"/>
      <c r="E394" s="13" t="n"/>
      <c r="L394" s="11" t="n"/>
    </row>
    <row r="395">
      <c r="C395" s="11" t="n"/>
      <c r="E395" s="13" t="n"/>
      <c r="L395" s="11" t="n"/>
    </row>
    <row r="396">
      <c r="C396" s="11" t="n"/>
      <c r="E396" s="13" t="n"/>
      <c r="L396" s="11" t="n"/>
    </row>
    <row r="397">
      <c r="C397" s="11" t="n"/>
      <c r="E397" s="13" t="n"/>
      <c r="L397" s="11" t="n"/>
    </row>
    <row r="398">
      <c r="C398" s="11" t="n"/>
      <c r="E398" s="13" t="n"/>
      <c r="L398" s="11" t="n"/>
    </row>
    <row r="399">
      <c r="C399" s="11" t="n"/>
      <c r="E399" s="13" t="n"/>
      <c r="L399" s="11" t="n"/>
    </row>
    <row r="400">
      <c r="C400" s="11" t="n"/>
      <c r="E400" s="13" t="n"/>
      <c r="L400" s="11" t="n"/>
    </row>
    <row r="401">
      <c r="C401" s="11" t="n"/>
      <c r="E401" s="13" t="n"/>
      <c r="L401" s="11" t="n"/>
    </row>
    <row r="402">
      <c r="C402" s="11" t="n"/>
      <c r="E402" s="13" t="n"/>
      <c r="L402" s="11" t="n"/>
    </row>
    <row r="403">
      <c r="C403" s="11" t="n"/>
      <c r="E403" s="13" t="n"/>
      <c r="L403" s="11" t="n"/>
    </row>
    <row r="404">
      <c r="C404" s="11" t="n"/>
      <c r="E404" s="13" t="n"/>
      <c r="L404" s="11" t="n"/>
    </row>
    <row r="405">
      <c r="C405" s="11" t="n"/>
      <c r="E405" s="13" t="n"/>
      <c r="L405" s="11" t="n"/>
    </row>
    <row r="406">
      <c r="C406" s="11" t="n"/>
      <c r="E406" s="13" t="n"/>
      <c r="L406" s="11" t="n"/>
    </row>
    <row r="407">
      <c r="C407" s="11" t="n"/>
      <c r="E407" s="13" t="n"/>
      <c r="L407" s="11" t="n"/>
    </row>
    <row r="408">
      <c r="C408" s="11" t="n"/>
      <c r="E408" s="13" t="n"/>
      <c r="L408" s="11" t="n"/>
    </row>
    <row r="409">
      <c r="C409" s="11" t="n"/>
      <c r="E409" s="13" t="n"/>
      <c r="L409" s="11" t="n"/>
    </row>
    <row r="410">
      <c r="C410" s="11" t="n"/>
      <c r="E410" s="13" t="n"/>
      <c r="L410" s="11" t="n"/>
    </row>
    <row r="411">
      <c r="C411" s="11" t="n"/>
      <c r="E411" s="13" t="n"/>
      <c r="L411" s="11" t="n"/>
    </row>
    <row r="412">
      <c r="C412" s="11" t="n"/>
      <c r="E412" s="13" t="n"/>
      <c r="L412" s="11" t="n"/>
    </row>
    <row r="413">
      <c r="C413" s="11" t="n"/>
      <c r="E413" s="13" t="n"/>
      <c r="L413" s="11" t="n"/>
    </row>
    <row r="414">
      <c r="C414" s="11" t="n"/>
      <c r="E414" s="13" t="n"/>
      <c r="L414" s="11" t="n"/>
    </row>
    <row r="415">
      <c r="C415" s="11" t="n"/>
      <c r="E415" s="13" t="n"/>
      <c r="L415" s="11" t="n"/>
    </row>
    <row r="416">
      <c r="C416" s="11" t="n"/>
      <c r="E416" s="13" t="n"/>
      <c r="L416" s="11" t="n"/>
    </row>
    <row r="417">
      <c r="C417" s="11" t="n"/>
      <c r="E417" s="13" t="n"/>
      <c r="L417" s="11" t="n"/>
    </row>
    <row r="418">
      <c r="C418" s="11" t="n"/>
      <c r="E418" s="13" t="n"/>
      <c r="L418" s="11" t="n"/>
    </row>
    <row r="419">
      <c r="C419" s="11" t="n"/>
      <c r="E419" s="13" t="n"/>
      <c r="L419" s="11" t="n"/>
    </row>
    <row r="420">
      <c r="C420" s="11" t="n"/>
      <c r="E420" s="13" t="n"/>
      <c r="L420" s="11" t="n"/>
    </row>
    <row r="421">
      <c r="C421" s="11" t="n"/>
      <c r="E421" s="13" t="n"/>
      <c r="L421" s="11" t="n"/>
    </row>
    <row r="422">
      <c r="C422" s="11" t="n"/>
      <c r="E422" s="13" t="n"/>
      <c r="L422" s="11" t="n"/>
    </row>
    <row r="423">
      <c r="C423" s="11" t="n"/>
      <c r="E423" s="13" t="n"/>
      <c r="L423" s="11" t="n"/>
    </row>
    <row r="424">
      <c r="C424" s="11" t="n"/>
      <c r="E424" s="13" t="n"/>
      <c r="L424" s="11" t="n"/>
    </row>
    <row r="425">
      <c r="C425" s="11" t="n"/>
      <c r="E425" s="13" t="n"/>
      <c r="L425" s="11" t="n"/>
    </row>
    <row r="426">
      <c r="C426" s="11" t="n"/>
      <c r="E426" s="13" t="n"/>
      <c r="L426" s="11" t="n"/>
    </row>
    <row r="427">
      <c r="C427" s="11" t="n"/>
      <c r="E427" s="13" t="n"/>
      <c r="L427" s="11" t="n"/>
    </row>
    <row r="428">
      <c r="C428" s="11" t="n"/>
      <c r="E428" s="13" t="n"/>
      <c r="L428" s="11" t="n"/>
    </row>
    <row r="429">
      <c r="C429" s="11" t="n"/>
      <c r="E429" s="13" t="n"/>
      <c r="L429" s="11" t="n"/>
    </row>
    <row r="430">
      <c r="C430" s="11" t="n"/>
      <c r="E430" s="13" t="n"/>
      <c r="L430" s="11" t="n"/>
    </row>
    <row r="431">
      <c r="C431" s="11" t="n"/>
      <c r="E431" s="13" t="n"/>
      <c r="L431" s="11" t="n"/>
    </row>
    <row r="432">
      <c r="C432" s="11" t="n"/>
      <c r="E432" s="13" t="n"/>
      <c r="L432" s="11" t="n"/>
    </row>
    <row r="433">
      <c r="C433" s="11" t="n"/>
      <c r="E433" s="13" t="n"/>
      <c r="L433" s="11" t="n"/>
    </row>
    <row r="434">
      <c r="C434" s="11" t="n"/>
      <c r="E434" s="13" t="n"/>
      <c r="L434" s="11" t="n"/>
    </row>
    <row r="435">
      <c r="C435" s="11" t="n"/>
      <c r="E435" s="13" t="n"/>
      <c r="L435" s="11" t="n"/>
    </row>
    <row r="436">
      <c r="C436" s="11" t="n"/>
      <c r="E436" s="13" t="n"/>
      <c r="L436" s="11" t="n"/>
    </row>
    <row r="437">
      <c r="C437" s="11" t="n"/>
      <c r="E437" s="13" t="n"/>
      <c r="L437" s="11" t="n"/>
    </row>
    <row r="438">
      <c r="C438" s="11" t="n"/>
      <c r="E438" s="13" t="n"/>
      <c r="L438" s="11" t="n"/>
    </row>
    <row r="439">
      <c r="C439" s="11" t="n"/>
      <c r="E439" s="13" t="n"/>
      <c r="L439" s="11" t="n"/>
    </row>
    <row r="440">
      <c r="C440" s="11" t="n"/>
      <c r="E440" s="13" t="n"/>
      <c r="L440" s="11" t="n"/>
    </row>
    <row r="441">
      <c r="C441" s="11" t="n"/>
      <c r="E441" s="13" t="n"/>
      <c r="L441" s="11" t="n"/>
    </row>
    <row r="442">
      <c r="C442" s="11" t="n"/>
      <c r="E442" s="13" t="n"/>
      <c r="L442" s="11" t="n"/>
    </row>
    <row r="443">
      <c r="C443" s="11" t="n"/>
      <c r="E443" s="13" t="n"/>
      <c r="L443" s="11" t="n"/>
    </row>
    <row r="444">
      <c r="C444" s="11" t="n"/>
      <c r="E444" s="13" t="n"/>
      <c r="L444" s="11" t="n"/>
    </row>
    <row r="445">
      <c r="C445" s="11" t="n"/>
      <c r="E445" s="13" t="n"/>
      <c r="L445" s="11" t="n"/>
    </row>
    <row r="446">
      <c r="C446" s="11" t="n"/>
      <c r="E446" s="13" t="n"/>
      <c r="L446" s="11" t="n"/>
    </row>
    <row r="447">
      <c r="C447" s="11" t="n"/>
      <c r="E447" s="13" t="n"/>
      <c r="L447" s="11" t="n"/>
    </row>
    <row r="448">
      <c r="C448" s="11" t="n"/>
      <c r="E448" s="13" t="n"/>
      <c r="L448" s="11" t="n"/>
    </row>
    <row r="449">
      <c r="C449" s="11" t="n"/>
      <c r="E449" s="13" t="n"/>
      <c r="L449" s="11" t="n"/>
    </row>
    <row r="450">
      <c r="C450" s="11" t="n"/>
      <c r="E450" s="13" t="n"/>
      <c r="L450" s="11" t="n"/>
    </row>
    <row r="451">
      <c r="C451" s="11" t="n"/>
      <c r="E451" s="13" t="n"/>
      <c r="L451" s="11" t="n"/>
    </row>
    <row r="452">
      <c r="C452" s="11" t="n"/>
      <c r="E452" s="13" t="n"/>
      <c r="L452" s="11" t="n"/>
    </row>
    <row r="453">
      <c r="C453" s="11" t="n"/>
      <c r="E453" s="13" t="n"/>
      <c r="L453" s="11" t="n"/>
    </row>
    <row r="454">
      <c r="C454" s="11" t="n"/>
      <c r="E454" s="13" t="n"/>
      <c r="L454" s="11" t="n"/>
    </row>
    <row r="455">
      <c r="C455" s="11" t="n"/>
      <c r="E455" s="13" t="n"/>
      <c r="L455" s="11" t="n"/>
    </row>
    <row r="456">
      <c r="C456" s="11" t="n"/>
      <c r="E456" s="13" t="n"/>
      <c r="L456" s="11" t="n"/>
    </row>
    <row r="457">
      <c r="C457" s="11" t="n"/>
      <c r="E457" s="13" t="n"/>
      <c r="L457" s="11" t="n"/>
    </row>
    <row r="458">
      <c r="C458" s="11" t="n"/>
      <c r="E458" s="13" t="n"/>
      <c r="L458" s="11" t="n"/>
    </row>
    <row r="459">
      <c r="C459" s="11" t="n"/>
      <c r="E459" s="13" t="n"/>
      <c r="L459" s="11" t="n"/>
    </row>
    <row r="460">
      <c r="C460" s="11" t="n"/>
      <c r="E460" s="13" t="n"/>
      <c r="L460" s="11" t="n"/>
    </row>
    <row r="461">
      <c r="C461" s="11" t="n"/>
      <c r="E461" s="13" t="n"/>
      <c r="L461" s="11" t="n"/>
    </row>
    <row r="462">
      <c r="C462" s="11" t="n"/>
      <c r="E462" s="13" t="n"/>
      <c r="L462" s="11" t="n"/>
    </row>
    <row r="463">
      <c r="C463" s="11" t="n"/>
      <c r="E463" s="13" t="n"/>
      <c r="L463" s="11" t="n"/>
    </row>
    <row r="464">
      <c r="C464" s="11" t="n"/>
      <c r="E464" s="13" t="n"/>
      <c r="L464" s="11" t="n"/>
    </row>
    <row r="465">
      <c r="C465" s="11" t="n"/>
      <c r="E465" s="13" t="n"/>
      <c r="L465" s="11" t="n"/>
    </row>
    <row r="466">
      <c r="C466" s="11" t="n"/>
      <c r="E466" s="13" t="n"/>
      <c r="L466" s="11" t="n"/>
    </row>
    <row r="467">
      <c r="C467" s="11" t="n"/>
      <c r="E467" s="13" t="n"/>
      <c r="L467" s="11" t="n"/>
    </row>
    <row r="468">
      <c r="C468" s="11" t="n"/>
      <c r="E468" s="13" t="n"/>
      <c r="L468" s="11" t="n"/>
    </row>
    <row r="469">
      <c r="C469" s="11" t="n"/>
      <c r="E469" s="13" t="n"/>
      <c r="L469" s="11" t="n"/>
    </row>
    <row r="470">
      <c r="C470" s="11" t="n"/>
      <c r="E470" s="13" t="n"/>
      <c r="L470" s="11" t="n"/>
    </row>
    <row r="471">
      <c r="C471" s="11" t="n"/>
      <c r="E471" s="13" t="n"/>
      <c r="L471" s="11" t="n"/>
    </row>
    <row r="472">
      <c r="C472" s="11" t="n"/>
      <c r="E472" s="13" t="n"/>
      <c r="L472" s="11" t="n"/>
    </row>
    <row r="473">
      <c r="C473" s="11" t="n"/>
      <c r="E473" s="13" t="n"/>
      <c r="L473" s="11" t="n"/>
    </row>
    <row r="474">
      <c r="C474" s="11" t="n"/>
      <c r="E474" s="13" t="n"/>
      <c r="L474" s="11" t="n"/>
    </row>
    <row r="475">
      <c r="C475" s="11" t="n"/>
      <c r="E475" s="13" t="n"/>
      <c r="L475" s="11" t="n"/>
    </row>
    <row r="476">
      <c r="C476" s="11" t="n"/>
      <c r="E476" s="13" t="n"/>
      <c r="L476" s="11" t="n"/>
    </row>
    <row r="477">
      <c r="C477" s="11" t="n"/>
      <c r="E477" s="13" t="n"/>
      <c r="L477" s="11" t="n"/>
    </row>
    <row r="478">
      <c r="C478" s="11" t="n"/>
      <c r="E478" s="13" t="n"/>
      <c r="L478" s="11" t="n"/>
    </row>
    <row r="479">
      <c r="C479" s="11" t="n"/>
      <c r="E479" s="13" t="n"/>
      <c r="L479" s="11" t="n"/>
    </row>
    <row r="480">
      <c r="C480" s="11" t="n"/>
      <c r="E480" s="13" t="n"/>
      <c r="L480" s="11" t="n"/>
    </row>
    <row r="481">
      <c r="C481" s="11" t="n"/>
      <c r="E481" s="13" t="n"/>
      <c r="L481" s="11" t="n"/>
    </row>
    <row r="482">
      <c r="C482" s="11" t="n"/>
      <c r="E482" s="13" t="n"/>
      <c r="L482" s="11" t="n"/>
    </row>
    <row r="483">
      <c r="C483" s="11" t="n"/>
      <c r="E483" s="13" t="n"/>
      <c r="L483" s="11" t="n"/>
    </row>
    <row r="484">
      <c r="C484" s="11" t="n"/>
      <c r="E484" s="13" t="n"/>
      <c r="L484" s="11" t="n"/>
    </row>
    <row r="485">
      <c r="C485" s="11" t="n"/>
      <c r="E485" s="13" t="n"/>
      <c r="L485" s="11" t="n"/>
    </row>
    <row r="486">
      <c r="C486" s="11" t="n"/>
      <c r="E486" s="13" t="n"/>
      <c r="L486" s="11" t="n"/>
    </row>
    <row r="487">
      <c r="C487" s="11" t="n"/>
      <c r="E487" s="13" t="n"/>
      <c r="L487" s="11" t="n"/>
    </row>
    <row r="488">
      <c r="C488" s="11" t="n"/>
      <c r="E488" s="13" t="n"/>
      <c r="L488" s="11" t="n"/>
    </row>
    <row r="489">
      <c r="C489" s="11" t="n"/>
      <c r="E489" s="13" t="n"/>
      <c r="L489" s="11" t="n"/>
    </row>
    <row r="490">
      <c r="C490" s="11" t="n"/>
      <c r="E490" s="13" t="n"/>
      <c r="L490" s="11" t="n"/>
    </row>
    <row r="491">
      <c r="C491" s="11" t="n"/>
      <c r="E491" s="13" t="n"/>
      <c r="L491" s="11" t="n"/>
    </row>
    <row r="492">
      <c r="C492" s="11" t="n"/>
      <c r="E492" s="13" t="n"/>
      <c r="L492" s="11" t="n"/>
    </row>
    <row r="493">
      <c r="C493" s="11" t="n"/>
      <c r="E493" s="13" t="n"/>
      <c r="L493" s="11" t="n"/>
    </row>
    <row r="494">
      <c r="C494" s="11" t="n"/>
      <c r="E494" s="13" t="n"/>
      <c r="L494" s="11" t="n"/>
    </row>
    <row r="495">
      <c r="C495" s="11" t="n"/>
      <c r="E495" s="13" t="n"/>
      <c r="L495" s="11" t="n"/>
    </row>
    <row r="496">
      <c r="C496" s="11" t="n"/>
      <c r="E496" s="13" t="n"/>
      <c r="L496" s="11" t="n"/>
    </row>
    <row r="497">
      <c r="C497" s="11" t="n"/>
      <c r="E497" s="13" t="n"/>
      <c r="L497" s="11" t="n"/>
    </row>
    <row r="498">
      <c r="C498" s="11" t="n"/>
      <c r="E498" s="13" t="n"/>
      <c r="L498" s="11" t="n"/>
    </row>
    <row r="499">
      <c r="C499" s="11" t="n"/>
      <c r="E499" s="13" t="n"/>
      <c r="L499" s="11" t="n"/>
    </row>
    <row r="500">
      <c r="C500" s="11" t="n"/>
      <c r="E500" s="13" t="n"/>
      <c r="L500" s="11" t="n"/>
    </row>
    <row r="501">
      <c r="C501" s="11" t="n"/>
      <c r="E501" s="13" t="n"/>
      <c r="L501" s="11" t="n"/>
    </row>
    <row r="502">
      <c r="C502" s="11" t="n"/>
      <c r="E502" s="13" t="n"/>
      <c r="L502" s="11" t="n"/>
    </row>
    <row r="503">
      <c r="C503" s="11" t="n"/>
      <c r="E503" s="13" t="n"/>
      <c r="L503" s="11" t="n"/>
    </row>
    <row r="504">
      <c r="C504" s="11" t="n"/>
      <c r="E504" s="13" t="n"/>
      <c r="L504" s="11" t="n"/>
    </row>
    <row r="505">
      <c r="C505" s="11" t="n"/>
      <c r="E505" s="13" t="n"/>
      <c r="L505" s="11" t="n"/>
    </row>
    <row r="506">
      <c r="C506" s="11" t="n"/>
      <c r="E506" s="13" t="n"/>
      <c r="L506" s="11" t="n"/>
    </row>
    <row r="507">
      <c r="C507" s="11" t="n"/>
      <c r="E507" s="13" t="n"/>
      <c r="L507" s="11" t="n"/>
    </row>
    <row r="508">
      <c r="C508" s="11" t="n"/>
      <c r="E508" s="13" t="n"/>
      <c r="L508" s="11" t="n"/>
    </row>
    <row r="509">
      <c r="C509" s="11" t="n"/>
      <c r="E509" s="13" t="n"/>
      <c r="L509" s="11" t="n"/>
    </row>
    <row r="510">
      <c r="C510" s="11" t="n"/>
      <c r="E510" s="13" t="n"/>
      <c r="L510" s="11" t="n"/>
    </row>
    <row r="511">
      <c r="C511" s="11" t="n"/>
      <c r="E511" s="13" t="n"/>
      <c r="L511" s="11" t="n"/>
    </row>
    <row r="512">
      <c r="C512" s="11" t="n"/>
      <c r="E512" s="13" t="n"/>
      <c r="L512" s="11" t="n"/>
    </row>
    <row r="513">
      <c r="C513" s="11" t="n"/>
      <c r="E513" s="13" t="n"/>
      <c r="L513" s="11" t="n"/>
    </row>
    <row r="514">
      <c r="C514" s="11" t="n"/>
      <c r="E514" s="13" t="n"/>
      <c r="L514" s="11" t="n"/>
    </row>
    <row r="515">
      <c r="C515" s="11" t="n"/>
      <c r="E515" s="13" t="n"/>
      <c r="L515" s="11" t="n"/>
    </row>
    <row r="516">
      <c r="C516" s="11" t="n"/>
      <c r="E516" s="13" t="n"/>
      <c r="L516" s="11" t="n"/>
    </row>
    <row r="517">
      <c r="C517" s="11" t="n"/>
      <c r="E517" s="13" t="n"/>
      <c r="L517" s="11" t="n"/>
    </row>
    <row r="518">
      <c r="C518" s="11" t="n"/>
      <c r="E518" s="13" t="n"/>
      <c r="L518" s="11" t="n"/>
    </row>
    <row r="519">
      <c r="C519" s="11" t="n"/>
      <c r="E519" s="13" t="n"/>
      <c r="L519" s="11" t="n"/>
    </row>
    <row r="520">
      <c r="C520" s="11" t="n"/>
      <c r="E520" s="13" t="n"/>
      <c r="L520" s="11" t="n"/>
    </row>
    <row r="521">
      <c r="C521" s="11" t="n"/>
      <c r="E521" s="13" t="n"/>
      <c r="L521" s="11" t="n"/>
    </row>
    <row r="522">
      <c r="C522" s="11" t="n"/>
      <c r="E522" s="13" t="n"/>
      <c r="L522" s="11" t="n"/>
    </row>
    <row r="523">
      <c r="C523" s="11" t="n"/>
      <c r="E523" s="13" t="n"/>
      <c r="L523" s="11" t="n"/>
    </row>
    <row r="524">
      <c r="C524" s="11" t="n"/>
      <c r="E524" s="13" t="n"/>
      <c r="L524" s="11" t="n"/>
    </row>
    <row r="525">
      <c r="C525" s="11" t="n"/>
      <c r="E525" s="13" t="n"/>
      <c r="L525" s="11" t="n"/>
    </row>
    <row r="526">
      <c r="C526" s="11" t="n"/>
      <c r="E526" s="13" t="n"/>
      <c r="L526" s="11" t="n"/>
    </row>
    <row r="527">
      <c r="C527" s="11" t="n"/>
      <c r="E527" s="13" t="n"/>
      <c r="L527" s="11" t="n"/>
    </row>
    <row r="528">
      <c r="C528" s="11" t="n"/>
      <c r="E528" s="13" t="n"/>
      <c r="L528" s="11" t="n"/>
    </row>
    <row r="529">
      <c r="C529" s="11" t="n"/>
      <c r="E529" s="13" t="n"/>
      <c r="L529" s="11" t="n"/>
    </row>
    <row r="530">
      <c r="C530" s="11" t="n"/>
      <c r="E530" s="13" t="n"/>
      <c r="L530" s="11" t="n"/>
    </row>
    <row r="531">
      <c r="C531" s="11" t="n"/>
      <c r="E531" s="13" t="n"/>
      <c r="L531" s="11" t="n"/>
    </row>
    <row r="532">
      <c r="C532" s="11" t="n"/>
      <c r="E532" s="13" t="n"/>
      <c r="L532" s="11" t="n"/>
    </row>
    <row r="533">
      <c r="C533" s="11" t="n"/>
      <c r="E533" s="13" t="n"/>
      <c r="L533" s="11" t="n"/>
    </row>
    <row r="534">
      <c r="C534" s="11" t="n"/>
      <c r="E534" s="13" t="n"/>
      <c r="L534" s="11" t="n"/>
    </row>
    <row r="535">
      <c r="C535" s="11" t="n"/>
      <c r="E535" s="13" t="n"/>
      <c r="L535" s="11" t="n"/>
    </row>
    <row r="536">
      <c r="C536" s="11" t="n"/>
      <c r="E536" s="13" t="n"/>
      <c r="L536" s="11" t="n"/>
    </row>
    <row r="537">
      <c r="C537" s="11" t="n"/>
      <c r="E537" s="13" t="n"/>
      <c r="L537" s="11" t="n"/>
    </row>
    <row r="538">
      <c r="C538" s="11" t="n"/>
      <c r="E538" s="13" t="n"/>
      <c r="L538" s="11" t="n"/>
    </row>
    <row r="539">
      <c r="C539" s="11" t="n"/>
      <c r="E539" s="13" t="n"/>
      <c r="L539" s="11" t="n"/>
    </row>
    <row r="540">
      <c r="C540" s="11" t="n"/>
      <c r="E540" s="13" t="n"/>
      <c r="L540" s="11" t="n"/>
    </row>
    <row r="541">
      <c r="C541" s="11" t="n"/>
      <c r="E541" s="13" t="n"/>
      <c r="L541" s="11" t="n"/>
    </row>
    <row r="542">
      <c r="C542" s="11" t="n"/>
      <c r="E542" s="13" t="n"/>
      <c r="L542" s="11" t="n"/>
    </row>
    <row r="543">
      <c r="C543" s="11" t="n"/>
      <c r="E543" s="13" t="n"/>
      <c r="L543" s="11" t="n"/>
    </row>
    <row r="544">
      <c r="C544" s="11" t="n"/>
      <c r="E544" s="13" t="n"/>
      <c r="L544" s="11" t="n"/>
    </row>
    <row r="545">
      <c r="C545" s="11" t="n"/>
      <c r="E545" s="13" t="n"/>
      <c r="L545" s="11" t="n"/>
    </row>
    <row r="546">
      <c r="C546" s="11" t="n"/>
      <c r="E546" s="13" t="n"/>
      <c r="L546" s="11" t="n"/>
    </row>
    <row r="547">
      <c r="C547" s="11" t="n"/>
      <c r="E547" s="13" t="n"/>
      <c r="L547" s="11" t="n"/>
    </row>
    <row r="548">
      <c r="C548" s="11" t="n"/>
      <c r="E548" s="13" t="n"/>
      <c r="L548" s="11" t="n"/>
    </row>
    <row r="549">
      <c r="C549" s="11" t="n"/>
      <c r="E549" s="13" t="n"/>
      <c r="L549" s="11" t="n"/>
    </row>
    <row r="550">
      <c r="C550" s="11" t="n"/>
      <c r="E550" s="13" t="n"/>
      <c r="L550" s="11" t="n"/>
    </row>
    <row r="551">
      <c r="C551" s="11" t="n"/>
      <c r="E551" s="13" t="n"/>
      <c r="L551" s="11" t="n"/>
    </row>
    <row r="552">
      <c r="C552" s="11" t="n"/>
      <c r="E552" s="13" t="n"/>
      <c r="L552" s="11" t="n"/>
    </row>
    <row r="553">
      <c r="C553" s="11" t="n"/>
      <c r="E553" s="13" t="n"/>
      <c r="L553" s="11" t="n"/>
    </row>
    <row r="554">
      <c r="C554" s="11" t="n"/>
      <c r="E554" s="13" t="n"/>
      <c r="L554" s="11" t="n"/>
    </row>
    <row r="555">
      <c r="C555" s="11" t="n"/>
      <c r="E555" s="13" t="n"/>
      <c r="L555" s="11" t="n"/>
    </row>
    <row r="556">
      <c r="C556" s="11" t="n"/>
      <c r="E556" s="13" t="n"/>
      <c r="L556" s="11" t="n"/>
    </row>
    <row r="557">
      <c r="C557" s="11" t="n"/>
      <c r="E557" s="13" t="n"/>
      <c r="L557" s="11" t="n"/>
    </row>
    <row r="558">
      <c r="C558" s="11" t="n"/>
      <c r="E558" s="13" t="n"/>
      <c r="L558" s="11" t="n"/>
    </row>
    <row r="559">
      <c r="C559" s="11" t="n"/>
      <c r="E559" s="13" t="n"/>
      <c r="L559" s="11" t="n"/>
    </row>
    <row r="560">
      <c r="C560" s="11" t="n"/>
      <c r="E560" s="13" t="n"/>
      <c r="L560" s="11" t="n"/>
    </row>
    <row r="561">
      <c r="C561" s="11" t="n"/>
      <c r="E561" s="13" t="n"/>
      <c r="L561" s="11" t="n"/>
    </row>
    <row r="562">
      <c r="C562" s="11" t="n"/>
      <c r="E562" s="13" t="n"/>
      <c r="L562" s="11" t="n"/>
    </row>
    <row r="563">
      <c r="C563" s="11" t="n"/>
      <c r="E563" s="13" t="n"/>
      <c r="L563" s="11" t="n"/>
    </row>
    <row r="564">
      <c r="C564" s="11" t="n"/>
      <c r="E564" s="13" t="n"/>
      <c r="L564" s="11" t="n"/>
    </row>
    <row r="565">
      <c r="C565" s="11" t="n"/>
      <c r="E565" s="13" t="n"/>
      <c r="L565" s="11" t="n"/>
    </row>
    <row r="566">
      <c r="C566" s="11" t="n"/>
      <c r="E566" s="13" t="n"/>
      <c r="L566" s="11" t="n"/>
    </row>
    <row r="567">
      <c r="C567" s="11" t="n"/>
      <c r="E567" s="13" t="n"/>
      <c r="L567" s="11" t="n"/>
    </row>
    <row r="568">
      <c r="C568" s="11" t="n"/>
      <c r="E568" s="13" t="n"/>
      <c r="L568" s="11" t="n"/>
    </row>
    <row r="569">
      <c r="C569" s="11" t="n"/>
      <c r="E569" s="13" t="n"/>
      <c r="L569" s="11" t="n"/>
    </row>
    <row r="570">
      <c r="C570" s="11" t="n"/>
      <c r="E570" s="13" t="n"/>
      <c r="L570" s="11" t="n"/>
    </row>
    <row r="571">
      <c r="C571" s="11" t="n"/>
      <c r="E571" s="13" t="n"/>
      <c r="L571" s="11" t="n"/>
    </row>
    <row r="572">
      <c r="C572" s="11" t="n"/>
      <c r="E572" s="13" t="n"/>
      <c r="L572" s="11" t="n"/>
    </row>
    <row r="573">
      <c r="C573" s="11" t="n"/>
      <c r="E573" s="13" t="n"/>
      <c r="L573" s="11" t="n"/>
    </row>
    <row r="574">
      <c r="C574" s="11" t="n"/>
      <c r="E574" s="13" t="n"/>
      <c r="L574" s="11" t="n"/>
    </row>
    <row r="575">
      <c r="C575" s="11" t="n"/>
      <c r="E575" s="13" t="n"/>
      <c r="L575" s="11" t="n"/>
    </row>
    <row r="576">
      <c r="C576" s="11" t="n"/>
      <c r="E576" s="13" t="n"/>
      <c r="L576" s="11" t="n"/>
    </row>
    <row r="577">
      <c r="C577" s="11" t="n"/>
      <c r="E577" s="13" t="n"/>
      <c r="L577" s="11" t="n"/>
    </row>
    <row r="578">
      <c r="C578" s="11" t="n"/>
      <c r="E578" s="13" t="n"/>
      <c r="L578" s="11" t="n"/>
    </row>
    <row r="579">
      <c r="C579" s="11" t="n"/>
      <c r="E579" s="13" t="n"/>
      <c r="L579" s="11" t="n"/>
    </row>
    <row r="580">
      <c r="C580" s="11" t="n"/>
      <c r="E580" s="13" t="n"/>
      <c r="L580" s="11" t="n"/>
    </row>
    <row r="581">
      <c r="C581" s="11" t="n"/>
      <c r="E581" s="13" t="n"/>
      <c r="L581" s="11" t="n"/>
    </row>
    <row r="582">
      <c r="C582" s="11" t="n"/>
      <c r="E582" s="13" t="n"/>
      <c r="L582" s="11" t="n"/>
    </row>
    <row r="583">
      <c r="C583" s="11" t="n"/>
      <c r="E583" s="13" t="n"/>
      <c r="L583" s="11" t="n"/>
    </row>
    <row r="584">
      <c r="C584" s="11" t="n"/>
      <c r="E584" s="13" t="n"/>
      <c r="L584" s="11" t="n"/>
    </row>
    <row r="585">
      <c r="C585" s="11" t="n"/>
      <c r="E585" s="13" t="n"/>
      <c r="L585" s="11" t="n"/>
    </row>
    <row r="586">
      <c r="C586" s="11" t="n"/>
      <c r="E586" s="13" t="n"/>
      <c r="L586" s="11" t="n"/>
    </row>
    <row r="587">
      <c r="C587" s="11" t="n"/>
      <c r="E587" s="13" t="n"/>
      <c r="L587" s="11" t="n"/>
    </row>
    <row r="588">
      <c r="C588" s="11" t="n"/>
      <c r="E588" s="13" t="n"/>
      <c r="L588" s="11" t="n"/>
    </row>
    <row r="589">
      <c r="C589" s="11" t="n"/>
      <c r="E589" s="13" t="n"/>
      <c r="L589" s="11" t="n"/>
    </row>
    <row r="590">
      <c r="C590" s="11" t="n"/>
      <c r="E590" s="13" t="n"/>
      <c r="L590" s="11" t="n"/>
    </row>
    <row r="591">
      <c r="C591" s="11" t="n"/>
      <c r="E591" s="13" t="n"/>
      <c r="L591" s="11" t="n"/>
    </row>
    <row r="592">
      <c r="C592" s="11" t="n"/>
      <c r="E592" s="13" t="n"/>
      <c r="L592" s="11" t="n"/>
    </row>
    <row r="593">
      <c r="C593" s="11" t="n"/>
      <c r="E593" s="13" t="n"/>
      <c r="L593" s="11" t="n"/>
    </row>
    <row r="594">
      <c r="C594" s="11" t="n"/>
      <c r="E594" s="13" t="n"/>
      <c r="L594" s="11" t="n"/>
    </row>
    <row r="595">
      <c r="C595" s="11" t="n"/>
      <c r="E595" s="13" t="n"/>
      <c r="L595" s="11" t="n"/>
    </row>
    <row r="596">
      <c r="C596" s="11" t="n"/>
      <c r="E596" s="13" t="n"/>
      <c r="L596" s="11" t="n"/>
    </row>
    <row r="597">
      <c r="C597" s="11" t="n"/>
      <c r="E597" s="13" t="n"/>
      <c r="L597" s="11" t="n"/>
    </row>
    <row r="598">
      <c r="C598" s="11" t="n"/>
      <c r="E598" s="13" t="n"/>
      <c r="L598" s="11" t="n"/>
    </row>
    <row r="599">
      <c r="C599" s="11" t="n"/>
      <c r="E599" s="13" t="n"/>
      <c r="L599" s="11" t="n"/>
    </row>
    <row r="600">
      <c r="C600" s="11" t="n"/>
      <c r="E600" s="13" t="n"/>
      <c r="L600" s="11" t="n"/>
    </row>
    <row r="601">
      <c r="C601" s="11" t="n"/>
      <c r="E601" s="13" t="n"/>
      <c r="L601" s="11" t="n"/>
    </row>
    <row r="602">
      <c r="C602" s="11" t="n"/>
      <c r="E602" s="13" t="n"/>
      <c r="L602" s="11" t="n"/>
    </row>
    <row r="603">
      <c r="C603" s="11" t="n"/>
      <c r="E603" s="13" t="n"/>
      <c r="L603" s="11" t="n"/>
    </row>
    <row r="604">
      <c r="C604" s="11" t="n"/>
      <c r="E604" s="13" t="n"/>
      <c r="L604" s="11" t="n"/>
    </row>
    <row r="605">
      <c r="C605" s="11" t="n"/>
      <c r="E605" s="13" t="n"/>
      <c r="L605" s="11" t="n"/>
    </row>
    <row r="606">
      <c r="C606" s="11" t="n"/>
      <c r="E606" s="13" t="n"/>
      <c r="L606" s="11" t="n"/>
    </row>
    <row r="607">
      <c r="C607" s="11" t="n"/>
      <c r="E607" s="13" t="n"/>
      <c r="L607" s="11" t="n"/>
    </row>
    <row r="608">
      <c r="C608" s="11" t="n"/>
      <c r="E608" s="13" t="n"/>
      <c r="L608" s="11" t="n"/>
    </row>
    <row r="609">
      <c r="C609" s="11" t="n"/>
      <c r="E609" s="13" t="n"/>
      <c r="L609" s="11" t="n"/>
    </row>
    <row r="610">
      <c r="C610" s="11" t="n"/>
      <c r="E610" s="13" t="n"/>
      <c r="L610" s="11" t="n"/>
    </row>
    <row r="611">
      <c r="C611" s="11" t="n"/>
      <c r="E611" s="13" t="n"/>
      <c r="L611" s="11" t="n"/>
    </row>
    <row r="612">
      <c r="C612" s="11" t="n"/>
      <c r="E612" s="13" t="n"/>
      <c r="L612" s="11" t="n"/>
    </row>
    <row r="613">
      <c r="C613" s="11" t="n"/>
      <c r="E613" s="13" t="n"/>
      <c r="L613" s="11" t="n"/>
    </row>
    <row r="614">
      <c r="C614" s="11" t="n"/>
      <c r="E614" s="13" t="n"/>
      <c r="L614" s="11" t="n"/>
    </row>
    <row r="615">
      <c r="C615" s="11" t="n"/>
      <c r="E615" s="13" t="n"/>
      <c r="L615" s="11" t="n"/>
    </row>
    <row r="616">
      <c r="C616" s="11" t="n"/>
      <c r="E616" s="13" t="n"/>
      <c r="L616" s="11" t="n"/>
    </row>
    <row r="617">
      <c r="C617" s="11" t="n"/>
      <c r="E617" s="13" t="n"/>
      <c r="L617" s="11" t="n"/>
    </row>
    <row r="618">
      <c r="C618" s="11" t="n"/>
      <c r="E618" s="13" t="n"/>
      <c r="L618" s="11" t="n"/>
    </row>
    <row r="619">
      <c r="C619" s="11" t="n"/>
      <c r="E619" s="13" t="n"/>
      <c r="L619" s="11" t="n"/>
    </row>
    <row r="620">
      <c r="C620" s="11" t="n"/>
      <c r="E620" s="13" t="n"/>
      <c r="L620" s="11" t="n"/>
    </row>
    <row r="621">
      <c r="C621" s="11" t="n"/>
      <c r="E621" s="13" t="n"/>
      <c r="L621" s="11" t="n"/>
    </row>
    <row r="622">
      <c r="C622" s="11" t="n"/>
      <c r="E622" s="13" t="n"/>
      <c r="L622" s="11" t="n"/>
    </row>
    <row r="623">
      <c r="C623" s="11" t="n"/>
      <c r="E623" s="13" t="n"/>
      <c r="L623" s="11" t="n"/>
    </row>
    <row r="624">
      <c r="C624" s="11" t="n"/>
      <c r="E624" s="13" t="n"/>
      <c r="L624" s="11" t="n"/>
    </row>
    <row r="625">
      <c r="C625" s="11" t="n"/>
      <c r="E625" s="13" t="n"/>
      <c r="L625" s="11" t="n"/>
    </row>
    <row r="626">
      <c r="C626" s="11" t="n"/>
      <c r="E626" s="13" t="n"/>
      <c r="L626" s="11" t="n"/>
    </row>
    <row r="627">
      <c r="C627" s="11" t="n"/>
      <c r="E627" s="13" t="n"/>
      <c r="L627" s="11" t="n"/>
    </row>
    <row r="628">
      <c r="C628" s="11" t="n"/>
      <c r="E628" s="13" t="n"/>
      <c r="L628" s="11" t="n"/>
    </row>
    <row r="629">
      <c r="C629" s="11" t="n"/>
      <c r="E629" s="13" t="n"/>
      <c r="L629" s="11" t="n"/>
    </row>
    <row r="630">
      <c r="C630" s="11" t="n"/>
      <c r="E630" s="13" t="n"/>
      <c r="L630" s="11" t="n"/>
    </row>
    <row r="631">
      <c r="C631" s="11" t="n"/>
      <c r="E631" s="13" t="n"/>
      <c r="L631" s="11" t="n"/>
    </row>
    <row r="632">
      <c r="C632" s="11" t="n"/>
      <c r="E632" s="13" t="n"/>
      <c r="L632" s="11" t="n"/>
    </row>
    <row r="633">
      <c r="C633" s="11" t="n"/>
      <c r="E633" s="13" t="n"/>
      <c r="L633" s="11" t="n"/>
    </row>
    <row r="634">
      <c r="C634" s="11" t="n"/>
      <c r="E634" s="13" t="n"/>
      <c r="L634" s="11" t="n"/>
    </row>
    <row r="635">
      <c r="C635" s="11" t="n"/>
      <c r="E635" s="13" t="n"/>
      <c r="L635" s="11" t="n"/>
    </row>
    <row r="636">
      <c r="C636" s="11" t="n"/>
      <c r="E636" s="13" t="n"/>
      <c r="L636" s="11" t="n"/>
    </row>
    <row r="637">
      <c r="C637" s="11" t="n"/>
      <c r="E637" s="13" t="n"/>
      <c r="L637" s="11" t="n"/>
    </row>
    <row r="638">
      <c r="C638" s="11" t="n"/>
      <c r="E638" s="13" t="n"/>
      <c r="L638" s="11" t="n"/>
    </row>
    <row r="639">
      <c r="C639" s="11" t="n"/>
      <c r="E639" s="13" t="n"/>
      <c r="L639" s="11" t="n"/>
    </row>
    <row r="640">
      <c r="C640" s="11" t="n"/>
      <c r="E640" s="13" t="n"/>
      <c r="L640" s="11" t="n"/>
    </row>
    <row r="641">
      <c r="C641" s="11" t="n"/>
      <c r="E641" s="13" t="n"/>
      <c r="L641" s="11" t="n"/>
    </row>
    <row r="642">
      <c r="C642" s="11" t="n"/>
      <c r="E642" s="13" t="n"/>
      <c r="L642" s="11" t="n"/>
    </row>
    <row r="643">
      <c r="C643" s="11" t="n"/>
      <c r="E643" s="13" t="n"/>
      <c r="L643" s="11" t="n"/>
    </row>
    <row r="644">
      <c r="C644" s="11" t="n"/>
      <c r="E644" s="13" t="n"/>
      <c r="L644" s="11" t="n"/>
    </row>
    <row r="645">
      <c r="C645" s="11" t="n"/>
      <c r="E645" s="13" t="n"/>
      <c r="L645" s="11" t="n"/>
    </row>
    <row r="646">
      <c r="C646" s="11" t="n"/>
      <c r="E646" s="13" t="n"/>
      <c r="L646" s="11" t="n"/>
    </row>
    <row r="647">
      <c r="C647" s="11" t="n"/>
      <c r="E647" s="13" t="n"/>
      <c r="L647" s="11" t="n"/>
    </row>
    <row r="648">
      <c r="C648" s="11" t="n"/>
      <c r="E648" s="13" t="n"/>
      <c r="L648" s="11" t="n"/>
    </row>
    <row r="649">
      <c r="C649" s="11" t="n"/>
      <c r="E649" s="13" t="n"/>
      <c r="L649" s="11" t="n"/>
    </row>
    <row r="650">
      <c r="C650" s="11" t="n"/>
      <c r="E650" s="13" t="n"/>
      <c r="L650" s="11" t="n"/>
    </row>
    <row r="651">
      <c r="C651" s="11" t="n"/>
      <c r="E651" s="13" t="n"/>
      <c r="L651" s="11" t="n"/>
    </row>
    <row r="652">
      <c r="C652" s="11" t="n"/>
      <c r="E652" s="13" t="n"/>
      <c r="L652" s="11" t="n"/>
    </row>
    <row r="653">
      <c r="C653" s="11" t="n"/>
      <c r="E653" s="13" t="n"/>
      <c r="L653" s="11" t="n"/>
    </row>
    <row r="654">
      <c r="C654" s="11" t="n"/>
      <c r="E654" s="13" t="n"/>
      <c r="L654" s="11" t="n"/>
    </row>
    <row r="655">
      <c r="C655" s="11" t="n"/>
      <c r="E655" s="13" t="n"/>
      <c r="L655" s="11" t="n"/>
    </row>
    <row r="656">
      <c r="C656" s="11" t="n"/>
      <c r="E656" s="13" t="n"/>
      <c r="L656" s="11" t="n"/>
    </row>
    <row r="657">
      <c r="C657" s="11" t="n"/>
      <c r="E657" s="13" t="n"/>
      <c r="L657" s="11" t="n"/>
    </row>
    <row r="658">
      <c r="C658" s="11" t="n"/>
      <c r="E658" s="13" t="n"/>
      <c r="L658" s="11" t="n"/>
    </row>
    <row r="659">
      <c r="C659" s="11" t="n"/>
      <c r="E659" s="13" t="n"/>
      <c r="L659" s="11" t="n"/>
    </row>
    <row r="660">
      <c r="C660" s="11" t="n"/>
      <c r="E660" s="13" t="n"/>
      <c r="L660" s="11" t="n"/>
    </row>
    <row r="661">
      <c r="C661" s="11" t="n"/>
      <c r="E661" s="13" t="n"/>
      <c r="L661" s="11" t="n"/>
    </row>
    <row r="662">
      <c r="C662" s="11" t="n"/>
      <c r="E662" s="13" t="n"/>
      <c r="L662" s="11" t="n"/>
    </row>
    <row r="663">
      <c r="C663" s="11" t="n"/>
      <c r="E663" s="13" t="n"/>
      <c r="L663" s="11" t="n"/>
    </row>
    <row r="664">
      <c r="C664" s="11" t="n"/>
      <c r="E664" s="13" t="n"/>
      <c r="L664" s="11" t="n"/>
    </row>
    <row r="665">
      <c r="C665" s="11" t="n"/>
      <c r="E665" s="13" t="n"/>
      <c r="L665" s="11" t="n"/>
    </row>
    <row r="666">
      <c r="C666" s="11" t="n"/>
      <c r="E666" s="13" t="n"/>
      <c r="L666" s="11" t="n"/>
    </row>
    <row r="667">
      <c r="C667" s="11" t="n"/>
      <c r="E667" s="13" t="n"/>
      <c r="L667" s="11" t="n"/>
    </row>
    <row r="668">
      <c r="C668" s="11" t="n"/>
      <c r="E668" s="13" t="n"/>
      <c r="L668" s="11" t="n"/>
    </row>
    <row r="669">
      <c r="C669" s="11" t="n"/>
      <c r="E669" s="13" t="n"/>
      <c r="L669" s="11" t="n"/>
    </row>
    <row r="670">
      <c r="C670" s="11" t="n"/>
      <c r="E670" s="13" t="n"/>
      <c r="L670" s="11" t="n"/>
    </row>
    <row r="671">
      <c r="C671" s="11" t="n"/>
      <c r="E671" s="13" t="n"/>
      <c r="L671" s="11" t="n"/>
    </row>
    <row r="672">
      <c r="C672" s="11" t="n"/>
      <c r="E672" s="13" t="n"/>
      <c r="L672" s="11" t="n"/>
    </row>
    <row r="673">
      <c r="C673" s="11" t="n"/>
      <c r="E673" s="13" t="n"/>
      <c r="L673" s="11" t="n"/>
    </row>
    <row r="674">
      <c r="C674" s="11" t="n"/>
      <c r="E674" s="13" t="n"/>
      <c r="L674" s="11" t="n"/>
    </row>
    <row r="675">
      <c r="C675" s="11" t="n"/>
      <c r="E675" s="13" t="n"/>
      <c r="L675" s="11" t="n"/>
    </row>
    <row r="676">
      <c r="C676" s="11" t="n"/>
      <c r="E676" s="13" t="n"/>
      <c r="L676" s="11" t="n"/>
    </row>
    <row r="677">
      <c r="C677" s="11" t="n"/>
      <c r="E677" s="13" t="n"/>
      <c r="L677" s="11" t="n"/>
    </row>
    <row r="678">
      <c r="C678" s="11" t="n"/>
      <c r="E678" s="13" t="n"/>
      <c r="L678" s="11" t="n"/>
    </row>
    <row r="679">
      <c r="C679" s="11" t="n"/>
      <c r="E679" s="13" t="n"/>
      <c r="L679" s="11" t="n"/>
    </row>
    <row r="680">
      <c r="C680" s="11" t="n"/>
      <c r="E680" s="13" t="n"/>
      <c r="L680" s="11" t="n"/>
    </row>
    <row r="681">
      <c r="C681" s="11" t="n"/>
      <c r="E681" s="13" t="n"/>
      <c r="L681" s="11" t="n"/>
    </row>
    <row r="682">
      <c r="C682" s="11" t="n"/>
      <c r="E682" s="13" t="n"/>
      <c r="L682" s="11" t="n"/>
    </row>
    <row r="683">
      <c r="C683" s="11" t="n"/>
      <c r="E683" s="13" t="n"/>
      <c r="L683" s="11" t="n"/>
    </row>
    <row r="684">
      <c r="C684" s="11" t="n"/>
      <c r="E684" s="13" t="n"/>
      <c r="L684" s="11" t="n"/>
    </row>
    <row r="685">
      <c r="C685" s="11" t="n"/>
      <c r="E685" s="13" t="n"/>
      <c r="L685" s="11" t="n"/>
    </row>
    <row r="686">
      <c r="C686" s="11" t="n"/>
      <c r="E686" s="13" t="n"/>
      <c r="L686" s="11" t="n"/>
    </row>
    <row r="687">
      <c r="C687" s="11" t="n"/>
      <c r="E687" s="13" t="n"/>
      <c r="L687" s="11" t="n"/>
    </row>
    <row r="688">
      <c r="C688" s="11" t="n"/>
      <c r="E688" s="13" t="n"/>
      <c r="L688" s="11" t="n"/>
    </row>
    <row r="689">
      <c r="C689" s="11" t="n"/>
      <c r="E689" s="13" t="n"/>
      <c r="L689" s="11" t="n"/>
    </row>
    <row r="690">
      <c r="C690" s="11" t="n"/>
      <c r="E690" s="13" t="n"/>
      <c r="L690" s="11" t="n"/>
    </row>
    <row r="691">
      <c r="C691" s="11" t="n"/>
      <c r="E691" s="13" t="n"/>
      <c r="L691" s="11" t="n"/>
    </row>
    <row r="692">
      <c r="C692" s="11" t="n"/>
      <c r="E692" s="13" t="n"/>
      <c r="L692" s="11" t="n"/>
    </row>
    <row r="693">
      <c r="C693" s="11" t="n"/>
      <c r="E693" s="13" t="n"/>
      <c r="L693" s="11" t="n"/>
    </row>
    <row r="694">
      <c r="C694" s="11" t="n"/>
      <c r="E694" s="13" t="n"/>
      <c r="L694" s="11" t="n"/>
    </row>
    <row r="695">
      <c r="C695" s="11" t="n"/>
      <c r="E695" s="13" t="n"/>
      <c r="L695" s="11" t="n"/>
    </row>
    <row r="696">
      <c r="C696" s="11" t="n"/>
      <c r="E696" s="13" t="n"/>
      <c r="L696" s="11" t="n"/>
    </row>
    <row r="697">
      <c r="C697" s="11" t="n"/>
      <c r="E697" s="13" t="n"/>
      <c r="L697" s="11" t="n"/>
    </row>
    <row r="698">
      <c r="C698" s="11" t="n"/>
      <c r="E698" s="13" t="n"/>
      <c r="L698" s="11" t="n"/>
    </row>
    <row r="699">
      <c r="C699" s="11" t="n"/>
      <c r="E699" s="13" t="n"/>
      <c r="L699" s="11" t="n"/>
    </row>
    <row r="700">
      <c r="C700" s="11" t="n"/>
      <c r="E700" s="13" t="n"/>
      <c r="L700" s="11" t="n"/>
    </row>
    <row r="701">
      <c r="C701" s="11" t="n"/>
      <c r="E701" s="13" t="n"/>
      <c r="L701" s="11" t="n"/>
    </row>
    <row r="702">
      <c r="C702" s="11" t="n"/>
      <c r="E702" s="13" t="n"/>
      <c r="L702" s="11" t="n"/>
    </row>
    <row r="703">
      <c r="C703" s="11" t="n"/>
      <c r="E703" s="13" t="n"/>
      <c r="L703" s="11" t="n"/>
    </row>
    <row r="704">
      <c r="C704" s="11" t="n"/>
      <c r="E704" s="13" t="n"/>
      <c r="L704" s="11" t="n"/>
    </row>
    <row r="705">
      <c r="C705" s="11" t="n"/>
      <c r="E705" s="13" t="n"/>
      <c r="L705" s="11" t="n"/>
    </row>
    <row r="706">
      <c r="C706" s="11" t="n"/>
      <c r="E706" s="13" t="n"/>
      <c r="L706" s="11" t="n"/>
    </row>
    <row r="707">
      <c r="C707" s="11" t="n"/>
      <c r="E707" s="13" t="n"/>
      <c r="L707" s="11" t="n"/>
    </row>
    <row r="708">
      <c r="C708" s="11" t="n"/>
      <c r="E708" s="13" t="n"/>
      <c r="L708" s="11" t="n"/>
    </row>
    <row r="709">
      <c r="C709" s="11" t="n"/>
      <c r="E709" s="13" t="n"/>
      <c r="L709" s="11" t="n"/>
    </row>
    <row r="710">
      <c r="C710" s="11" t="n"/>
      <c r="E710" s="13" t="n"/>
      <c r="L710" s="11" t="n"/>
    </row>
    <row r="711">
      <c r="C711" s="11" t="n"/>
      <c r="E711" s="13" t="n"/>
      <c r="L711" s="11" t="n"/>
    </row>
    <row r="712">
      <c r="C712" s="11" t="n"/>
      <c r="E712" s="13" t="n"/>
      <c r="L712" s="11" t="n"/>
    </row>
    <row r="713">
      <c r="C713" s="11" t="n"/>
      <c r="E713" s="13" t="n"/>
      <c r="L713" s="11" t="n"/>
    </row>
    <row r="714">
      <c r="C714" s="11" t="n"/>
      <c r="E714" s="13" t="n"/>
      <c r="L714" s="11" t="n"/>
    </row>
    <row r="715">
      <c r="C715" s="11" t="n"/>
      <c r="E715" s="13" t="n"/>
      <c r="L715" s="11" t="n"/>
    </row>
    <row r="716">
      <c r="C716" s="11" t="n"/>
      <c r="E716" s="13" t="n"/>
      <c r="L716" s="11" t="n"/>
    </row>
    <row r="717">
      <c r="C717" s="11" t="n"/>
      <c r="E717" s="13" t="n"/>
      <c r="L717" s="11" t="n"/>
    </row>
    <row r="718">
      <c r="C718" s="11" t="n"/>
      <c r="E718" s="13" t="n"/>
      <c r="L718" s="11" t="n"/>
    </row>
    <row r="719">
      <c r="C719" s="11" t="n"/>
      <c r="E719" s="13" t="n"/>
      <c r="L719" s="11" t="n"/>
    </row>
    <row r="720">
      <c r="C720" s="11" t="n"/>
      <c r="E720" s="13" t="n"/>
      <c r="L720" s="11" t="n"/>
    </row>
    <row r="721">
      <c r="C721" s="11" t="n"/>
      <c r="E721" s="13" t="n"/>
      <c r="L721" s="11" t="n"/>
    </row>
    <row r="722">
      <c r="C722" s="11" t="n"/>
      <c r="E722" s="13" t="n"/>
      <c r="L722" s="11" t="n"/>
    </row>
    <row r="723">
      <c r="C723" s="11" t="n"/>
      <c r="E723" s="13" t="n"/>
      <c r="L723" s="11" t="n"/>
    </row>
    <row r="724">
      <c r="C724" s="11" t="n"/>
      <c r="E724" s="13" t="n"/>
      <c r="L724" s="11" t="n"/>
    </row>
    <row r="725">
      <c r="C725" s="11" t="n"/>
      <c r="E725" s="13" t="n"/>
      <c r="L725" s="11" t="n"/>
    </row>
    <row r="726">
      <c r="C726" s="11" t="n"/>
      <c r="E726" s="13" t="n"/>
      <c r="L726" s="11" t="n"/>
    </row>
    <row r="727">
      <c r="C727" s="11" t="n"/>
      <c r="E727" s="13" t="n"/>
      <c r="L727" s="11" t="n"/>
    </row>
    <row r="728">
      <c r="C728" s="11" t="n"/>
      <c r="E728" s="13" t="n"/>
      <c r="L728" s="11" t="n"/>
    </row>
    <row r="729">
      <c r="C729" s="11" t="n"/>
      <c r="E729" s="13" t="n"/>
      <c r="L729" s="11" t="n"/>
    </row>
    <row r="730">
      <c r="C730" s="11" t="n"/>
      <c r="E730" s="13" t="n"/>
      <c r="L730" s="11" t="n"/>
    </row>
    <row r="731">
      <c r="C731" s="11" t="n"/>
      <c r="E731" s="13" t="n"/>
      <c r="L731" s="11" t="n"/>
    </row>
    <row r="732">
      <c r="C732" s="11" t="n"/>
      <c r="E732" s="13" t="n"/>
      <c r="L732" s="11" t="n"/>
    </row>
    <row r="733">
      <c r="C733" s="11" t="n"/>
      <c r="E733" s="13" t="n"/>
      <c r="L733" s="11" t="n"/>
    </row>
    <row r="734">
      <c r="C734" s="11" t="n"/>
      <c r="E734" s="13" t="n"/>
      <c r="L734" s="11" t="n"/>
    </row>
    <row r="735">
      <c r="C735" s="11" t="n"/>
      <c r="E735" s="13" t="n"/>
      <c r="L735" s="11" t="n"/>
    </row>
    <row r="736">
      <c r="C736" s="11" t="n"/>
      <c r="E736" s="13" t="n"/>
      <c r="L736" s="11" t="n"/>
    </row>
    <row r="737">
      <c r="C737" s="11" t="n"/>
      <c r="E737" s="13" t="n"/>
      <c r="L737" s="11" t="n"/>
    </row>
    <row r="738">
      <c r="C738" s="11" t="n"/>
      <c r="E738" s="13" t="n"/>
      <c r="L738" s="11" t="n"/>
    </row>
    <row r="739">
      <c r="C739" s="11" t="n"/>
      <c r="E739" s="13" t="n"/>
      <c r="L739" s="11" t="n"/>
    </row>
    <row r="740">
      <c r="C740" s="11" t="n"/>
      <c r="E740" s="13" t="n"/>
      <c r="L740" s="11" t="n"/>
    </row>
    <row r="741">
      <c r="C741" s="11" t="n"/>
      <c r="E741" s="13" t="n"/>
      <c r="L741" s="11" t="n"/>
    </row>
    <row r="742">
      <c r="C742" s="11" t="n"/>
      <c r="E742" s="13" t="n"/>
      <c r="L742" s="11" t="n"/>
    </row>
    <row r="743">
      <c r="C743" s="11" t="n"/>
      <c r="E743" s="13" t="n"/>
      <c r="L743" s="11" t="n"/>
    </row>
    <row r="744">
      <c r="C744" s="11" t="n"/>
      <c r="E744" s="13" t="n"/>
      <c r="L744" s="11" t="n"/>
    </row>
    <row r="745">
      <c r="C745" s="11" t="n"/>
      <c r="E745" s="13" t="n"/>
      <c r="L745" s="11" t="n"/>
    </row>
    <row r="746">
      <c r="C746" s="11" t="n"/>
      <c r="E746" s="13" t="n"/>
      <c r="L746" s="11" t="n"/>
    </row>
    <row r="747">
      <c r="C747" s="11" t="n"/>
      <c r="E747" s="13" t="n"/>
      <c r="L747" s="11" t="n"/>
    </row>
    <row r="748">
      <c r="C748" s="11" t="n"/>
      <c r="E748" s="13" t="n"/>
      <c r="L748" s="11" t="n"/>
    </row>
    <row r="749">
      <c r="C749" s="11" t="n"/>
      <c r="E749" s="13" t="n"/>
      <c r="L749" s="11" t="n"/>
    </row>
    <row r="750">
      <c r="C750" s="11" t="n"/>
      <c r="E750" s="13" t="n"/>
      <c r="L750" s="11" t="n"/>
    </row>
    <row r="751">
      <c r="C751" s="11" t="n"/>
      <c r="E751" s="13" t="n"/>
      <c r="L751" s="11" t="n"/>
    </row>
    <row r="752">
      <c r="C752" s="11" t="n"/>
      <c r="E752" s="13" t="n"/>
      <c r="L752" s="11" t="n"/>
    </row>
    <row r="753">
      <c r="C753" s="11" t="n"/>
      <c r="E753" s="13" t="n"/>
      <c r="L753" s="11" t="n"/>
    </row>
    <row r="754">
      <c r="C754" s="11" t="n"/>
      <c r="E754" s="13" t="n"/>
      <c r="L754" s="11" t="n"/>
    </row>
    <row r="755">
      <c r="C755" s="11" t="n"/>
      <c r="E755" s="13" t="n"/>
      <c r="L755" s="11" t="n"/>
    </row>
    <row r="756">
      <c r="C756" s="11" t="n"/>
      <c r="E756" s="13" t="n"/>
      <c r="L756" s="11" t="n"/>
    </row>
    <row r="757">
      <c r="C757" s="11" t="n"/>
      <c r="E757" s="13" t="n"/>
      <c r="L757" s="11" t="n"/>
    </row>
    <row r="758">
      <c r="C758" s="11" t="n"/>
      <c r="E758" s="13" t="n"/>
      <c r="L758" s="11" t="n"/>
    </row>
    <row r="759">
      <c r="C759" s="11" t="n"/>
      <c r="E759" s="13" t="n"/>
      <c r="L759" s="11" t="n"/>
    </row>
    <row r="760">
      <c r="C760" s="11" t="n"/>
      <c r="E760" s="13" t="n"/>
      <c r="L760" s="11" t="n"/>
    </row>
    <row r="761">
      <c r="C761" s="11" t="n"/>
      <c r="E761" s="13" t="n"/>
      <c r="L761" s="11" t="n"/>
    </row>
    <row r="762">
      <c r="C762" s="11" t="n"/>
      <c r="E762" s="13" t="n"/>
      <c r="L762" s="11" t="n"/>
    </row>
    <row r="763">
      <c r="C763" s="11" t="n"/>
      <c r="E763" s="13" t="n"/>
      <c r="L763" s="11" t="n"/>
    </row>
    <row r="764">
      <c r="C764" s="11" t="n"/>
      <c r="E764" s="13" t="n"/>
      <c r="L764" s="11" t="n"/>
    </row>
    <row r="765">
      <c r="C765" s="11" t="n"/>
      <c r="E765" s="13" t="n"/>
      <c r="L765" s="11" t="n"/>
    </row>
    <row r="766">
      <c r="C766" s="11" t="n"/>
      <c r="E766" s="13" t="n"/>
      <c r="L766" s="11" t="n"/>
    </row>
    <row r="767">
      <c r="C767" s="11" t="n"/>
      <c r="E767" s="13" t="n"/>
      <c r="L767" s="11" t="n"/>
    </row>
    <row r="768">
      <c r="C768" s="11" t="n"/>
      <c r="E768" s="13" t="n"/>
      <c r="L768" s="11" t="n"/>
    </row>
    <row r="769">
      <c r="C769" s="11" t="n"/>
      <c r="E769" s="13" t="n"/>
      <c r="L769" s="11" t="n"/>
    </row>
    <row r="770">
      <c r="C770" s="11" t="n"/>
      <c r="E770" s="13" t="n"/>
      <c r="L770" s="11" t="n"/>
    </row>
    <row r="771">
      <c r="C771" s="11" t="n"/>
      <c r="E771" s="13" t="n"/>
      <c r="L771" s="11" t="n"/>
    </row>
    <row r="772">
      <c r="C772" s="11" t="n"/>
      <c r="E772" s="13" t="n"/>
      <c r="L772" s="11" t="n"/>
    </row>
    <row r="773">
      <c r="C773" s="11" t="n"/>
      <c r="E773" s="13" t="n"/>
      <c r="L773" s="11" t="n"/>
    </row>
    <row r="774">
      <c r="C774" s="11" t="n"/>
      <c r="E774" s="13" t="n"/>
      <c r="L774" s="11" t="n"/>
    </row>
    <row r="775">
      <c r="C775" s="11" t="n"/>
      <c r="E775" s="13" t="n"/>
      <c r="L775" s="11" t="n"/>
    </row>
    <row r="776">
      <c r="C776" s="11" t="n"/>
      <c r="E776" s="13" t="n"/>
      <c r="L776" s="11" t="n"/>
    </row>
    <row r="777">
      <c r="C777" s="11" t="n"/>
      <c r="E777" s="13" t="n"/>
      <c r="L777" s="11" t="n"/>
    </row>
    <row r="778">
      <c r="C778" s="11" t="n"/>
      <c r="E778" s="13" t="n"/>
      <c r="L778" s="11" t="n"/>
    </row>
    <row r="779">
      <c r="C779" s="11" t="n"/>
      <c r="E779" s="13" t="n"/>
      <c r="L779" s="11" t="n"/>
    </row>
    <row r="780">
      <c r="C780" s="11" t="n"/>
      <c r="E780" s="13" t="n"/>
      <c r="L780" s="11" t="n"/>
    </row>
    <row r="781">
      <c r="C781" s="11" t="n"/>
      <c r="E781" s="13" t="n"/>
      <c r="L781" s="11" t="n"/>
    </row>
    <row r="782">
      <c r="C782" s="11" t="n"/>
      <c r="E782" s="13" t="n"/>
      <c r="L782" s="11" t="n"/>
    </row>
    <row r="783">
      <c r="C783" s="11" t="n"/>
      <c r="E783" s="13" t="n"/>
      <c r="L783" s="11" t="n"/>
    </row>
    <row r="784">
      <c r="C784" s="11" t="n"/>
      <c r="E784" s="13" t="n"/>
      <c r="L784" s="11" t="n"/>
    </row>
    <row r="785">
      <c r="C785" s="11" t="n"/>
      <c r="E785" s="13" t="n"/>
      <c r="L785" s="11" t="n"/>
    </row>
    <row r="786">
      <c r="C786" s="11" t="n"/>
      <c r="E786" s="13" t="n"/>
      <c r="L786" s="11" t="n"/>
    </row>
    <row r="787">
      <c r="C787" s="11" t="n"/>
      <c r="E787" s="13" t="n"/>
      <c r="L787" s="11" t="n"/>
    </row>
    <row r="788">
      <c r="C788" s="11" t="n"/>
      <c r="E788" s="13" t="n"/>
      <c r="L788" s="11" t="n"/>
    </row>
    <row r="789">
      <c r="C789" s="11" t="n"/>
      <c r="E789" s="13" t="n"/>
      <c r="L789" s="11" t="n"/>
    </row>
    <row r="790">
      <c r="C790" s="11" t="n"/>
      <c r="E790" s="13" t="n"/>
      <c r="L790" s="11" t="n"/>
    </row>
    <row r="791">
      <c r="C791" s="11" t="n"/>
      <c r="E791" s="13" t="n"/>
      <c r="L791" s="11" t="n"/>
    </row>
    <row r="792">
      <c r="C792" s="11" t="n"/>
      <c r="E792" s="13" t="n"/>
      <c r="L792" s="11" t="n"/>
    </row>
    <row r="793">
      <c r="C793" s="11" t="n"/>
      <c r="E793" s="13" t="n"/>
      <c r="L793" s="11" t="n"/>
    </row>
    <row r="794">
      <c r="C794" s="11" t="n"/>
      <c r="E794" s="13" t="n"/>
      <c r="L794" s="11" t="n"/>
    </row>
    <row r="795">
      <c r="C795" s="11" t="n"/>
      <c r="E795" s="13" t="n"/>
      <c r="L795" s="11" t="n"/>
    </row>
    <row r="796">
      <c r="C796" s="11" t="n"/>
      <c r="E796" s="13" t="n"/>
      <c r="L796" s="11" t="n"/>
    </row>
    <row r="797">
      <c r="C797" s="11" t="n"/>
      <c r="E797" s="13" t="n"/>
      <c r="L797" s="11" t="n"/>
    </row>
    <row r="798">
      <c r="C798" s="11" t="n"/>
      <c r="E798" s="13" t="n"/>
      <c r="L798" s="11" t="n"/>
    </row>
    <row r="799">
      <c r="C799" s="11" t="n"/>
      <c r="E799" s="13" t="n"/>
      <c r="L799" s="11" t="n"/>
    </row>
    <row r="800">
      <c r="C800" s="11" t="n"/>
      <c r="E800" s="13" t="n"/>
      <c r="L800" s="11" t="n"/>
    </row>
    <row r="801">
      <c r="C801" s="11" t="n"/>
      <c r="E801" s="13" t="n"/>
      <c r="L801" s="11" t="n"/>
    </row>
    <row r="802">
      <c r="C802" s="11" t="n"/>
      <c r="E802" s="13" t="n"/>
      <c r="L802" s="11" t="n"/>
    </row>
    <row r="803">
      <c r="C803" s="11" t="n"/>
      <c r="E803" s="13" t="n"/>
      <c r="L803" s="11" t="n"/>
    </row>
    <row r="804">
      <c r="C804" s="11" t="n"/>
      <c r="E804" s="13" t="n"/>
      <c r="L804" s="11" t="n"/>
    </row>
    <row r="805">
      <c r="C805" s="11" t="n"/>
      <c r="E805" s="13" t="n"/>
      <c r="L805" s="11" t="n"/>
    </row>
    <row r="806">
      <c r="C806" s="11" t="n"/>
      <c r="E806" s="13" t="n"/>
      <c r="L806" s="11" t="n"/>
    </row>
    <row r="807">
      <c r="C807" s="11" t="n"/>
      <c r="E807" s="13" t="n"/>
      <c r="L807" s="11" t="n"/>
    </row>
    <row r="808">
      <c r="C808" s="11" t="n"/>
      <c r="E808" s="13" t="n"/>
      <c r="L808" s="11" t="n"/>
    </row>
    <row r="809">
      <c r="C809" s="11" t="n"/>
      <c r="E809" s="13" t="n"/>
      <c r="L809" s="11" t="n"/>
    </row>
    <row r="810">
      <c r="C810" s="11" t="n"/>
      <c r="E810" s="13" t="n"/>
      <c r="L810" s="11" t="n"/>
    </row>
    <row r="811">
      <c r="C811" s="11" t="n"/>
      <c r="E811" s="13" t="n"/>
      <c r="L811" s="11" t="n"/>
    </row>
    <row r="812">
      <c r="C812" s="11" t="n"/>
      <c r="E812" s="13" t="n"/>
      <c r="L812" s="11" t="n"/>
    </row>
    <row r="813">
      <c r="C813" s="11" t="n"/>
      <c r="E813" s="13" t="n"/>
      <c r="L813" s="11" t="n"/>
    </row>
    <row r="814">
      <c r="C814" s="11" t="n"/>
      <c r="E814" s="13" t="n"/>
      <c r="L814" s="11" t="n"/>
    </row>
    <row r="815">
      <c r="C815" s="11" t="n"/>
      <c r="E815" s="13" t="n"/>
      <c r="L815" s="11" t="n"/>
    </row>
    <row r="816">
      <c r="C816" s="11" t="n"/>
      <c r="E816" s="13" t="n"/>
      <c r="L816" s="11" t="n"/>
    </row>
    <row r="817">
      <c r="C817" s="11" t="n"/>
      <c r="E817" s="13" t="n"/>
      <c r="L817" s="11" t="n"/>
    </row>
    <row r="818">
      <c r="C818" s="11" t="n"/>
      <c r="E818" s="13" t="n"/>
      <c r="L818" s="11" t="n"/>
    </row>
    <row r="819">
      <c r="C819" s="11" t="n"/>
      <c r="E819" s="13" t="n"/>
      <c r="L819" s="11" t="n"/>
    </row>
    <row r="820">
      <c r="C820" s="11" t="n"/>
      <c r="E820" s="13" t="n"/>
      <c r="L820" s="11" t="n"/>
    </row>
    <row r="821">
      <c r="C821" s="11" t="n"/>
      <c r="E821" s="13" t="n"/>
      <c r="L821" s="11" t="n"/>
    </row>
    <row r="822">
      <c r="C822" s="11" t="n"/>
      <c r="E822" s="13" t="n"/>
      <c r="L822" s="11" t="n"/>
    </row>
    <row r="823">
      <c r="C823" s="11" t="n"/>
      <c r="E823" s="13" t="n"/>
      <c r="L823" s="11" t="n"/>
    </row>
    <row r="824">
      <c r="C824" s="11" t="n"/>
      <c r="E824" s="13" t="n"/>
      <c r="L824" s="11" t="n"/>
    </row>
    <row r="825">
      <c r="C825" s="11" t="n"/>
      <c r="E825" s="13" t="n"/>
      <c r="L825" s="11" t="n"/>
    </row>
    <row r="826">
      <c r="C826" s="11" t="n"/>
      <c r="E826" s="13" t="n"/>
      <c r="L826" s="11" t="n"/>
    </row>
    <row r="827">
      <c r="C827" s="11" t="n"/>
      <c r="E827" s="13" t="n"/>
      <c r="L827" s="11" t="n"/>
    </row>
    <row r="828">
      <c r="C828" s="11" t="n"/>
      <c r="E828" s="13" t="n"/>
      <c r="L828" s="11" t="n"/>
    </row>
    <row r="829">
      <c r="C829" s="11" t="n"/>
      <c r="E829" s="13" t="n"/>
      <c r="L829" s="11" t="n"/>
    </row>
    <row r="830">
      <c r="C830" s="11" t="n"/>
      <c r="E830" s="13" t="n"/>
      <c r="L830" s="11" t="n"/>
    </row>
    <row r="831">
      <c r="C831" s="11" t="n"/>
      <c r="E831" s="13" t="n"/>
      <c r="L831" s="11" t="n"/>
    </row>
    <row r="832">
      <c r="C832" s="11" t="n"/>
      <c r="E832" s="13" t="n"/>
      <c r="L832" s="11" t="n"/>
    </row>
    <row r="833">
      <c r="C833" s="11" t="n"/>
      <c r="E833" s="13" t="n"/>
      <c r="L833" s="11" t="n"/>
    </row>
    <row r="834">
      <c r="C834" s="11" t="n"/>
      <c r="E834" s="13" t="n"/>
      <c r="L834" s="11" t="n"/>
    </row>
    <row r="835">
      <c r="C835" s="11" t="n"/>
      <c r="E835" s="13" t="n"/>
      <c r="L835" s="11" t="n"/>
    </row>
    <row r="836">
      <c r="C836" s="11" t="n"/>
      <c r="L836" s="11" t="n"/>
    </row>
    <row r="837">
      <c r="C837" s="11" t="n"/>
      <c r="L837" s="11" t="n"/>
    </row>
    <row r="838">
      <c r="C838" s="11" t="n"/>
      <c r="L838" s="11" t="n"/>
    </row>
    <row r="839">
      <c r="C839" s="11" t="n"/>
      <c r="L839" s="11" t="n"/>
    </row>
    <row r="840">
      <c r="C840" s="11" t="n"/>
      <c r="L840" s="11" t="n"/>
    </row>
    <row r="841">
      <c r="C841" s="11" t="n"/>
      <c r="L841" s="11" t="n"/>
    </row>
    <row r="842">
      <c r="C842" s="11" t="n"/>
      <c r="L842" s="11" t="n"/>
    </row>
    <row r="843">
      <c r="C843" s="11" t="n"/>
      <c r="L843" s="11" t="n"/>
    </row>
    <row r="844">
      <c r="C844" s="11" t="n"/>
      <c r="L844" s="11" t="n"/>
    </row>
    <row r="845">
      <c r="C845" s="11" t="n"/>
      <c r="L845" s="11" t="n"/>
    </row>
    <row r="846">
      <c r="C846" s="11" t="n"/>
      <c r="L846" s="11" t="n"/>
    </row>
    <row r="847">
      <c r="C847" s="11" t="n"/>
      <c r="L847" s="11" t="n"/>
    </row>
    <row r="848">
      <c r="C848" s="11" t="n"/>
      <c r="L848" s="11" t="n"/>
    </row>
    <row r="849">
      <c r="C849" s="11" t="n"/>
      <c r="L849" s="11" t="n"/>
    </row>
    <row r="850">
      <c r="C850" s="11" t="n"/>
      <c r="L850" s="11" t="n"/>
    </row>
    <row r="851">
      <c r="C851" s="11" t="n"/>
      <c r="L851" s="11" t="n"/>
    </row>
    <row r="852">
      <c r="C852" s="11" t="n"/>
      <c r="L852" s="11" t="n"/>
    </row>
    <row r="853">
      <c r="C853" s="11" t="n"/>
      <c r="L853" s="11" t="n"/>
    </row>
    <row r="854">
      <c r="C854" s="11" t="n"/>
      <c r="L854" s="11" t="n"/>
    </row>
    <row r="855">
      <c r="C855" s="11" t="n"/>
      <c r="L855" s="11" t="n"/>
    </row>
    <row r="856">
      <c r="C856" s="11" t="n"/>
      <c r="L856" s="11" t="n"/>
    </row>
    <row r="857">
      <c r="C857" s="11" t="n"/>
      <c r="L857" s="11" t="n"/>
    </row>
    <row r="858">
      <c r="C858" s="11" t="n"/>
      <c r="L858" s="11" t="n"/>
    </row>
    <row r="859">
      <c r="C859" s="11" t="n"/>
      <c r="L859" s="11" t="n"/>
    </row>
    <row r="860">
      <c r="C860" s="11" t="n"/>
      <c r="L860" s="11" t="n"/>
    </row>
    <row r="861">
      <c r="C861" s="11" t="n"/>
      <c r="L861" s="11" t="n"/>
    </row>
    <row r="862">
      <c r="C862" s="11" t="n"/>
      <c r="L862" s="11" t="n"/>
    </row>
    <row r="863">
      <c r="C863" s="11" t="n"/>
      <c r="L863" s="11" t="n"/>
    </row>
    <row r="864">
      <c r="C864" s="11" t="n"/>
      <c r="L864" s="11" t="n"/>
    </row>
    <row r="865">
      <c r="C865" s="11" t="n"/>
      <c r="L865" s="11" t="n"/>
    </row>
    <row r="866">
      <c r="C866" s="11" t="n"/>
      <c r="L866" s="11" t="n"/>
    </row>
    <row r="867">
      <c r="C867" s="11" t="n"/>
      <c r="L867" s="11" t="n"/>
    </row>
    <row r="868">
      <c r="C868" s="11" t="n"/>
      <c r="L868" s="11" t="n"/>
    </row>
    <row r="869">
      <c r="C869" s="11" t="n"/>
      <c r="L869" s="11" t="n"/>
    </row>
    <row r="870">
      <c r="C870" s="11" t="n"/>
      <c r="L870" s="11" t="n"/>
    </row>
    <row r="871">
      <c r="C871" s="11" t="n"/>
      <c r="L871" s="11" t="n"/>
    </row>
    <row r="872">
      <c r="C872" s="11" t="n"/>
      <c r="L872" s="11" t="n"/>
    </row>
    <row r="873">
      <c r="C873" s="11" t="n"/>
      <c r="L873" s="11" t="n"/>
    </row>
    <row r="874">
      <c r="C874" s="11" t="n"/>
      <c r="L874" s="11" t="n"/>
    </row>
    <row r="875">
      <c r="C875" s="11" t="n"/>
      <c r="L875" s="11" t="n"/>
    </row>
    <row r="876">
      <c r="C876" s="11" t="n"/>
      <c r="L876" s="11" t="n"/>
    </row>
    <row r="877">
      <c r="C877" s="11" t="n"/>
      <c r="L877" s="11" t="n"/>
    </row>
    <row r="878">
      <c r="C878" s="11" t="n"/>
      <c r="L878" s="11" t="n"/>
    </row>
    <row r="879">
      <c r="C879" s="11" t="n"/>
      <c r="L879" s="11" t="n"/>
    </row>
    <row r="880">
      <c r="C880" s="11" t="n"/>
      <c r="L880" s="11" t="n"/>
    </row>
    <row r="881">
      <c r="C881" s="11" t="n"/>
      <c r="L881" s="11" t="n"/>
    </row>
    <row r="882">
      <c r="C882" s="11" t="n"/>
    </row>
    <row r="883">
      <c r="C883" s="11" t="n"/>
    </row>
    <row r="884">
      <c r="C884" s="11" t="n"/>
    </row>
    <row r="885">
      <c r="C885" s="11" t="n"/>
    </row>
    <row r="886">
      <c r="C886" s="11" t="n"/>
    </row>
    <row r="887">
      <c r="C887" s="11" t="n"/>
    </row>
    <row r="888">
      <c r="C888" s="11" t="n"/>
    </row>
    <row r="889">
      <c r="C889" s="11" t="n"/>
    </row>
    <row r="890">
      <c r="C890" s="11" t="n"/>
    </row>
    <row r="891">
      <c r="C891" s="11" t="n"/>
    </row>
    <row r="892">
      <c r="C892" s="11" t="n"/>
    </row>
    <row r="893">
      <c r="C893" s="11" t="n"/>
    </row>
    <row r="894">
      <c r="C894" s="11" t="n"/>
    </row>
    <row r="895">
      <c r="C895" s="11" t="n"/>
    </row>
    <row r="896">
      <c r="C896" s="11" t="n"/>
    </row>
    <row r="897">
      <c r="C897" s="11" t="n"/>
    </row>
    <row r="898">
      <c r="C898" s="11" t="n"/>
    </row>
    <row r="899">
      <c r="C899" s="11" t="n"/>
    </row>
    <row r="900">
      <c r="C900" s="11" t="n"/>
    </row>
    <row r="901">
      <c r="C901" s="11" t="n"/>
    </row>
    <row r="902">
      <c r="C902" s="11" t="n"/>
    </row>
    <row r="903">
      <c r="C903" s="11" t="n"/>
    </row>
    <row r="904">
      <c r="C904" s="11" t="n"/>
    </row>
    <row r="905">
      <c r="C905" s="11" t="n"/>
    </row>
  </sheetData>
  <mergeCells count="1">
    <mergeCell ref="A1:N3"/>
  </mergeCells>
  <dataValidations count="5">
    <dataValidation sqref="K4" showDropDown="0" showInputMessage="1" showErrorMessage="1" allowBlank="1" type="list">
      <formula1>$X$5:$X$5</formula1>
    </dataValidation>
    <dataValidation sqref="C4:C65536" showDropDown="0" showInputMessage="1" showErrorMessage="1" allowBlank="1" type="list">
      <formula1>"单元测试,功能测试,界面测试,压力测试,部署测试"</formula1>
    </dataValidation>
    <dataValidation sqref="E5:E835" showDropDown="0" showInputMessage="1" showErrorMessage="1" allowBlank="1" type="list">
      <formula1>"高,中,低"</formula1>
    </dataValidation>
    <dataValidation sqref="K5:K65536" showDropDown="0" showInputMessage="1" showErrorMessage="1" allowBlank="1" type="list">
      <formula1>"Y,N"</formula1>
    </dataValidation>
    <dataValidation sqref="L5:L881" showDropDown="0" showInputMessage="1" showErrorMessage="1" allowBlank="1" type="list">
      <formula1>"Null(无缺陷),Urgent(严重错误),High(主要错误),Medium(一般错误),Low(微小错误)"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ColWidth="9" defaultRowHeight="14.4"/>
  <cols>
    <col width="17" customWidth="1" style="1" min="1" max="1"/>
    <col width="132.59765625" customWidth="1" style="1" min="2" max="2"/>
    <col width="50.59765625" customWidth="1" style="1" min="3" max="3"/>
    <col width="9" customWidth="1" style="1" min="4" max="16384"/>
  </cols>
  <sheetData>
    <row r="1" ht="288" customHeight="1" s="84">
      <c r="B1" s="2" t="inlineStr">
        <is>
          <t>系统测试设计文档帮助
1、第一页蓝色字体为项目相关信息；
2、第二页为系统测试用例；
3、用例编号为（项目英文名称)-testcase-序号；
4、测试项表示该用例对应的需求功能；
5、测试类型可选择下拉框中的内容并且在下方列表有每个类型的帮助；
6、预置条件：能够正常完成该测试用例的必须条件；
7、输入：测试中要用到数据即准备数据；
8、操作步骤：测试过程的用户操作步骤；
9、Test Criticality测试的优先级：描述测试用例的优先级：高/中/低。级别高的用例先执行，一般为系统基本功能的正向设计测试用例；
10、预计结果：正确的系统响应；
11、实际结果：测试中系统的响应；
12、错误严重等级：
                 Null 无缺陷,该用例通过；
                 Urgent 严重错误，整个系统无法运行；
                 High 主要错误，对于系统有很主要的影响，需求功能未实现，且严重影响系统运行；
                 Medium 一般错误，影响到系统的部分部件，但不影响系统正常操作流程的执行；
                 Low 微小错误,仅对系统造成不重要的影响；
13、测试用例编写和执行完成后，在第一页中会自动统计用例信息(测试用例通过数功能需office2007以上版本支持)</t>
        </is>
      </c>
    </row>
    <row r="3">
      <c r="A3" s="74" t="inlineStr">
        <is>
          <t>★各个测试类型中常用的测试方法和参数</t>
        </is>
      </c>
    </row>
    <row r="4">
      <c r="A4" s="3" t="inlineStr">
        <is>
          <t>功能测试</t>
        </is>
      </c>
      <c r="B4" s="3" t="n"/>
    </row>
    <row r="5">
      <c r="A5" s="3" t="inlineStr">
        <is>
          <t>单元测试</t>
        </is>
      </c>
      <c r="B5" s="3" t="n"/>
    </row>
    <row r="6">
      <c r="A6" s="3" t="inlineStr">
        <is>
          <t>部署测试</t>
        </is>
      </c>
      <c r="B6" s="3" t="n"/>
    </row>
    <row r="7">
      <c r="A7" s="3" t="inlineStr">
        <is>
          <t>界面测试</t>
        </is>
      </c>
      <c r="B7" s="3" t="n"/>
    </row>
    <row r="8">
      <c r="A8" s="3" t="inlineStr">
        <is>
          <t>压力测试</t>
        </is>
      </c>
      <c r="B8" s="3" t="n"/>
    </row>
    <row r="9" ht="39" customHeight="1" s="84">
      <c r="A9" s="4" t="n"/>
      <c r="B9" s="4" t="n"/>
    </row>
    <row r="10" ht="27" customHeight="1" s="84">
      <c r="A10" s="75" t="inlineStr">
        <is>
          <t>功能测试用例常用测试项（包括输入验证、常用功能模块、常用功能操作。）</t>
        </is>
      </c>
      <c r="B10" s="86" t="n"/>
    </row>
    <row r="11" ht="24.75" customHeight="1" s="84">
      <c r="A11" s="76" t="inlineStr">
        <is>
          <t>1.输入验证</t>
        </is>
      </c>
      <c r="B11" s="86" t="n"/>
    </row>
    <row r="12" ht="24.75" customHeight="1" s="84">
      <c r="A12" s="76" t="inlineStr">
        <is>
          <t>输入验证主要包括：数字输入验证、非法字符输入验证、输入长度验证、必填项验证和信息提示</t>
        </is>
      </c>
      <c r="B12" s="5" t="inlineStr">
        <is>
          <t>1.数字输入验证：分别输入数字（正数、负数、零数、单精度、双精度）、字符串、空白值、空值、临界数值。不合法的输入，系统给出必要的判断提示信息</t>
        </is>
      </c>
    </row>
    <row r="13" ht="20.25" customHeight="1" s="84">
      <c r="A13" s="103" t="n"/>
      <c r="B13" s="5" t="inlineStr">
        <is>
          <t>2.字符输入验证：分别输入单字节字符、双字节字符、大小写字符、特殊字符、空白值、空值。不合法的输入，系统给出必要的判断提示信息</t>
        </is>
      </c>
    </row>
    <row r="14" ht="33.75" customHeight="1" s="84">
      <c r="A14" s="103" t="n"/>
      <c r="B14" s="5" t="inlineStr">
        <is>
          <t>3.日期、时间输入验证：分别输入任意字符、任意数字、非日期格式的数据、非正确日期（错误的闰年日期）、空值、空白值。不合法的输入，系统给出必要的判断提示信息。注：有些系统会不让输入当日以后或者以前的日期、时间；有些系统会通过JavaScript来自动填写日期时间，这时需要注意是否能够人工主观填写输入</t>
        </is>
      </c>
    </row>
    <row r="15" ht="18.75" customHeight="1" s="84">
      <c r="A15" s="103" t="n"/>
      <c r="B15" s="5" t="inlineStr">
        <is>
          <t>4.多列表选择框：测试是否能够多选，列表框中的数据是否能够显示完全。当列表框的数据过多时，需要对数据有一定格式的排序</t>
        </is>
      </c>
    </row>
    <row r="16" ht="36.75" customHeight="1" s="84">
      <c r="A16" s="103" t="n"/>
      <c r="B16" s="5" t="inlineStr">
        <is>
          <t>5.单列表下拉框：测试是否能够手工输入，下拉框中的数据是否能够显示完整。当下拉框的数据很多时，需要对数据有一定格式的排序。如果下拉框数据值过多时，下拉框可能会超出IE显示范围，此种情况不能够被接受</t>
        </is>
      </c>
    </row>
    <row r="17" ht="36.75" customHeight="1" s="84">
      <c r="A17" s="103" t="n"/>
      <c r="B17" s="5" t="inlineStr">
        <is>
          <t>6.大文本输入框（textArea）：虽然它能够满足大数据量的输入，但最好能够显式地标明输入字符的长度限制，并且应该结合“字符输入验证”进行。需要注意的是，应该允许标点的存在</t>
        </is>
      </c>
    </row>
    <row r="18" ht="37.5" customHeight="1" s="84">
      <c r="A18" s="103" t="n"/>
      <c r="B18" s="5" t="inlineStr">
        <is>
          <t>7.文本输入框输入验证：该输入框注意用作文件上传操作。在测试过程中，应该注意输入文件的扩展名。从测试角度来看，要求开发人员必须对扩展名进行输入限制，并且在适当的地方给出输入格式提示。当输入是空值等不合法的输入时，系统给出必要的判断提示信息。另外，对于上传的文件大小应该做限制，不宜太大</t>
        </is>
      </c>
    </row>
    <row r="19" ht="50.25" customHeight="1" s="84">
      <c r="A19" s="103" t="n"/>
      <c r="B19" s="5" t="inlineStr">
        <is>
          <t>8.验证码验证：做验证码输入验证时，先结合“字符输入验证”进行测试。然后注意的地方是，当利用IE回退或者刷新时，显示的验证码应该和实际系统验证码一致。如果验证码以图片形式显示，但图片由于其他原因（如网络）不能看到或者显示不完整，系统应该允许进行重新获取，最好不要做整个页面刷新</t>
        </is>
      </c>
    </row>
    <row r="20" ht="18" customHeight="1" s="84">
      <c r="A20" s="103" t="n"/>
      <c r="B20" s="5" t="inlineStr">
        <is>
          <t>9.输入字符长度验证：输入字符的长度是否超过实际系统接收字符长度的能力。当输入超出长度时，系统给出必要的判断提示信息</t>
        </is>
      </c>
    </row>
    <row r="21" ht="18" customHeight="1" s="84">
      <c r="A21" s="103" t="n"/>
      <c r="B21" s="5" t="inlineStr">
        <is>
          <t>10.必填项验证：输入不允许为空时，系统需要有提示用户输入信息功能</t>
        </is>
      </c>
    </row>
    <row r="22" ht="28.8" customHeight="1" s="84">
      <c r="A22" s="103" t="n"/>
      <c r="B22" s="5" t="inlineStr">
        <is>
          <t>11.格式、规则输入验证：当输入需要一定的格式时，系统需要有提示用户输入信息功能。比如身份证号码可以输入18位或者15位，部分身份证最后一位为字母时，身份证上生日与身份证号码有一定规则</t>
        </is>
      </c>
    </row>
    <row r="23" ht="17.25" customHeight="1" s="84">
      <c r="A23" s="103" t="n"/>
      <c r="B23" s="5" t="inlineStr">
        <is>
          <t>12.系统错误定位的输入验证：当输入存在问题时，被系统捕捉到，此时页面上的光标能够定位到发生错误的输入框</t>
        </is>
      </c>
    </row>
    <row r="24" ht="17.25" customHeight="1" s="84">
      <c r="A24" s="104" t="n"/>
      <c r="B24" s="5" t="inlineStr">
        <is>
          <t>13.单选框、多选框的输入验证：单选框需要依次验证单选框的值是否都有效；多选框需要依次验证多选框的值是否都有效</t>
        </is>
      </c>
    </row>
    <row r="25" ht="22.5" customHeight="1" s="84">
      <c r="A25" s="76" t="inlineStr">
        <is>
          <t>2.操作验证（CZ）</t>
        </is>
      </c>
      <c r="B25" s="86" t="n"/>
    </row>
    <row r="26" ht="21.75" customHeight="1" s="84">
      <c r="A26" s="76" t="inlineStr">
        <is>
          <t>该用例库主要针对页面操作</t>
        </is>
      </c>
      <c r="B26" s="5" t="inlineStr">
        <is>
          <t>1.页面链接检查；每一个链接是否都有对应的页面，并且页面之间切换正确</t>
        </is>
      </c>
    </row>
    <row r="27" ht="21.75" customHeight="1" s="84">
      <c r="A27" s="103" t="n"/>
      <c r="B27" s="5" t="inlineStr">
        <is>
          <t>2.相关性检查：删除/增加一项会不会对其他项产生影响，如果产生影响，这些影响是否都正确</t>
        </is>
      </c>
    </row>
    <row r="28" ht="21.75" customHeight="1" s="84">
      <c r="A28" s="103" t="n"/>
      <c r="B28" s="5" t="inlineStr">
        <is>
          <t>3.检查按钮的功能是否正确：如增、删、改、查等功能是否正确</t>
        </is>
      </c>
    </row>
    <row r="29" ht="21.75" customHeight="1" s="84">
      <c r="A29" s="103" t="n"/>
      <c r="B29" s="5" t="inlineStr">
        <is>
          <t>4.重复提交表单：一条已经成功提交的表单，用IE回退之后再提交，看看系统是否做了处理</t>
        </is>
      </c>
    </row>
    <row r="30" ht="21.75" customHeight="1" s="84">
      <c r="A30" s="103" t="n"/>
      <c r="B30" s="5" t="inlineStr">
        <is>
          <t>5.多次IE回退：检查多次使用IE回退的情况，在有回退的地方，回退，回到原来页面，再回退，重复多次，看是否出错</t>
        </is>
      </c>
    </row>
    <row r="31" ht="21.75" customHeight="1" s="84">
      <c r="A31" s="103" t="n"/>
      <c r="B31" s="5" t="inlineStr">
        <is>
          <t>6.快捷键检查：是否支持常用快捷键，如Ctrl+C，Ctrl+V，Backspace等，对一些不允许输入信息的字段，如选人、选日期对快捷方式是否也做了限制</t>
        </is>
      </c>
    </row>
    <row r="32" ht="21.75" customHeight="1" s="84">
      <c r="A32" s="103" t="n"/>
      <c r="B32" s="5" t="inlineStr">
        <is>
          <t>7.回车键检查：在输入结束后直接按回车键，看系统处理如何，能否报错</t>
        </is>
      </c>
    </row>
    <row r="33" ht="21.75" customHeight="1" s="84">
      <c r="A33" s="103" t="n"/>
      <c r="B33" s="5" t="inlineStr">
        <is>
          <t>8.上传下载文件检查：上传下载文件的功能是否实现，上传文件是否能打开。对上传文件的格式有规定，系统是否有解释信息，并检查系统是否能够做到</t>
        </is>
      </c>
    </row>
    <row r="34" ht="30.75" customHeight="1" s="84">
      <c r="A34" s="104" t="n"/>
      <c r="B34" s="5" t="inlineStr">
        <is>
          <t>9.其他验证：在页面上图片的大小不宜太大。需要第三方软件支持时，应该给出必要的信息。比如需要jre的支持，但用户机器还没有安装jre，那么此时在页面上应该有显著的标识来提醒用户进行安装</t>
        </is>
      </c>
    </row>
    <row r="35" ht="21.75" customHeight="1" s="84">
      <c r="A35" s="76" t="inlineStr">
        <is>
          <t>3.用户注册测试用例（ZC）</t>
        </is>
      </c>
      <c r="B35" s="86" t="n"/>
    </row>
    <row r="36" ht="33" customHeight="1" s="84">
      <c r="A36" s="76" t="inlineStr">
        <is>
          <t>该用例库主要针对用户注册模块</t>
        </is>
      </c>
      <c r="B36" s="5" t="inlineStr">
        <is>
          <t>1.注册名输入：进行“输入验证”。当系统有必要的输入限制提示信息时，注册用户名输入要按照提示信息规则进行。当系统中已经存在相同的用户时应该限制其输入，并给出适当的信息提示。一般用户注册名，输入为必填项，并且输入不能为空和空值，能够用任意字符作为用户名</t>
        </is>
      </c>
    </row>
    <row r="37" ht="45.75" customHeight="1" s="84">
      <c r="A37" s="103" t="n"/>
      <c r="B37" s="5" t="inlineStr">
        <is>
          <t>2.密码输入：进行“输入验证”。一般注册系统会给出两个密码输入框，只有当两个密码框输入一致的时候，才能进行注册操作，否则系统应该给出必要的提示信息。密码输入应该给出一定限制，首先，不要低于6位字母（这样才可相对保证用户密码的安全性，可作为功能测试点进行），不允许有空密码输入。其次，所有密码到数据库中后，应该是以密文形式出现，不应该是明文（这点可以通过数据库查询得到验证）</t>
        </is>
      </c>
    </row>
    <row r="38" ht="24" customHeight="1" s="84">
      <c r="A38" s="104" t="n"/>
      <c r="B38" s="5" t="inlineStr">
        <is>
          <t>3.可填项：进行“输入验证”</t>
        </is>
      </c>
    </row>
    <row r="39" ht="27" customHeight="1" s="84">
      <c r="A39" s="76" t="inlineStr">
        <is>
          <t>4.登陆模块测试用例（DL）</t>
        </is>
      </c>
      <c r="B39" s="86" t="n"/>
    </row>
    <row r="40" ht="22.5" customHeight="1" s="84">
      <c r="A40" s="76" t="inlineStr">
        <is>
          <t>该用例库主要针对登陆模块。需要结合“访问控制（FWKZYZ）”用例库</t>
        </is>
      </c>
      <c r="B40" s="5" t="inlineStr">
        <is>
          <t>1.登录名输入：进行“输入验证”。需要注意登录名是否区分大小写和空格</t>
        </is>
      </c>
    </row>
    <row r="41" ht="21.75" customHeight="1" s="84">
      <c r="A41" s="103" t="n"/>
      <c r="B41" s="5" t="inlineStr">
        <is>
          <t>2.密码输入：进行“输入验证”</t>
        </is>
      </c>
    </row>
    <row r="42" ht="28.8" customHeight="1" s="84">
      <c r="A42" s="103" t="n"/>
      <c r="B42" s="5" t="inlineStr">
        <is>
          <t>3、提交操作：结合“访问控制（FWKZYZ）”。当输入正确的登陆用户名和密码后，该用户能够进入到指定的正确页面。当输入的登陆用户名和密码有误时，系统限制其登陆，并且给出适当的提示信息。当遇到错误时，应该进行“错误页面测试”</t>
        </is>
      </c>
    </row>
    <row r="43" ht="25.5" customHeight="1" s="84">
      <c r="A43" s="104" t="n"/>
      <c r="B43" s="5" t="inlineStr">
        <is>
          <t>4、重设操作：当进行重设操作时，当前页面上所有输入项被清空</t>
        </is>
      </c>
    </row>
    <row r="44" ht="27" customHeight="1" s="84">
      <c r="A44" s="76" t="inlineStr">
        <is>
          <t>5.注销模块测试用例（ZX）</t>
        </is>
      </c>
      <c r="B44" s="86" t="n"/>
    </row>
    <row r="45" ht="32.25" customHeight="1" s="84">
      <c r="A45" s="5" t="inlineStr">
        <is>
          <t>该用例库主要针对注销模块</t>
        </is>
      </c>
      <c r="B45" s="5" t="inlineStr">
        <is>
          <t>进行注销操作：系统能够返回到首页或者而一个指定的页面，确认用户session已经被注销。确认方法可以用登陆后的任意一个页面URL测试，当session被注销后，不能使用这个url</t>
        </is>
      </c>
    </row>
    <row r="46" ht="27" customHeight="1" s="84">
      <c r="A46" s="76" t="inlineStr">
        <is>
          <t>6.增加操作测试用例（ZJ）</t>
        </is>
      </c>
      <c r="B46" s="86" t="n"/>
    </row>
    <row r="47" ht="27" customHeight="1" s="84">
      <c r="A47" s="76" t="inlineStr">
        <is>
          <t>该用例库主要针对增加操作</t>
        </is>
      </c>
      <c r="B47" s="5" t="inlineStr">
        <is>
          <t>1.添加输入内容：进行“输入验证”</t>
        </is>
      </c>
    </row>
    <row r="48" ht="18.75" customHeight="1" s="84">
      <c r="A48" s="103" t="n"/>
      <c r="B48" s="5" t="inlineStr">
        <is>
          <t>2.应该限制重复增加。具体操作：利用网络传输以及服务器的延迟，多次单击“增加”按钮，经常在数据库发现重复提交的数据</t>
        </is>
      </c>
    </row>
    <row r="49" ht="18.75" customHeight="1" s="84">
      <c r="A49" s="103" t="n"/>
      <c r="B49" s="5" t="inlineStr">
        <is>
          <t>3.当增加成功或者失败后，应该有必要的信息提示</t>
        </is>
      </c>
    </row>
    <row r="50" ht="18.75" customHeight="1" s="84">
      <c r="A50" s="103" t="n"/>
      <c r="B50" s="5" t="inlineStr">
        <is>
          <t>4.文件数据的增加：有些增加包含了数据库数据的增加和一些文件的增加，此时的数据会保存在两个地方，所以测试时，需要对相关的数据做全面的验证</t>
        </is>
      </c>
    </row>
    <row r="51" ht="32.25" customHeight="1" s="84">
      <c r="A51" s="104" t="n"/>
      <c r="B51" s="5" t="inlineStr">
        <is>
          <t>5.文件数据验证：进行“输入验证”之“文件输入框输入验证”。注意，当上传的文件为中文名时，上传到服务器后，可能会出现乱码现象。现在一般的做法是将原文件名替换成字母和数字的组合，以克服汉字文件名的弊端，另外，可以增加文件的安全性</t>
        </is>
      </c>
    </row>
    <row r="52" ht="27" customHeight="1" s="84">
      <c r="A52" s="76" t="inlineStr">
        <is>
          <t>7.删除操作测试用例（SC）</t>
        </is>
      </c>
      <c r="B52" s="86" t="n"/>
    </row>
    <row r="53" ht="30.75" customHeight="1" s="84">
      <c r="A53" s="76" t="inlineStr">
        <is>
          <t>该用例库主要针对删除操作</t>
        </is>
      </c>
      <c r="B53" s="5" t="inlineStr">
        <is>
          <t>1.选择需要删除的字段。有时候系统会根据ID来删除，有时候系统会根据名称来删除。测试的时候应该多加注意，一边拿要求按照ID来删除，因为根据名称来删除，名称可能会存在重名问题</t>
        </is>
      </c>
    </row>
    <row r="54" ht="32.25" customHeight="1" s="84">
      <c r="A54" s="103" t="n"/>
      <c r="B54" s="5" t="inlineStr">
        <is>
          <t>2.应该限制重复删除。具体操作：利用网络传输以及服务器的延迟，多次单击“删除”按钮，经常在数据库发现重复提交的数据</t>
        </is>
      </c>
    </row>
    <row r="55" ht="32.25" customHeight="1" s="84">
      <c r="A55" s="103" t="n"/>
      <c r="B55" s="5" t="inlineStr">
        <is>
          <t>3.当删除的数据还有文件时，需要去验证存在数据库中的数据，以及硬盘下的文件是否都被同时删除</t>
        </is>
      </c>
    </row>
    <row r="56" ht="32.25" customHeight="1" s="84">
      <c r="A56" s="103" t="n"/>
      <c r="B56" s="5" t="inlineStr">
        <is>
          <t>4.当数据被删除成功或者失败后，要有相应的信息提示</t>
        </is>
      </c>
    </row>
    <row r="57" ht="32.25" customHeight="1" s="84">
      <c r="A57" s="104" t="n"/>
      <c r="B57" s="5" t="inlineStr">
        <is>
          <t>5.进行操作验证</t>
        </is>
      </c>
    </row>
    <row r="58" ht="27" customHeight="1" s="84">
      <c r="A58" s="76" t="inlineStr">
        <is>
          <t>8.修改操作测试用例（XG）</t>
        </is>
      </c>
      <c r="B58" s="86" t="n"/>
    </row>
    <row r="59" ht="25.5" customHeight="1" s="84">
      <c r="A59" s="76" t="inlineStr">
        <is>
          <t>该用例库主要针对修改操作</t>
        </is>
      </c>
      <c r="B59" s="5" t="inlineStr">
        <is>
          <t>1.打开需要修改的数据页面，注意与增加页面对比，只能修改部分数值，例如关键字等是不能被修改的，并且二者数据应该是一致的</t>
        </is>
      </c>
    </row>
    <row r="60">
      <c r="A60" s="103" t="n"/>
      <c r="B60" s="5" t="inlineStr">
        <is>
          <t>2.增加页面上的输入限制与修改页面的输入限制应该一致</t>
        </is>
      </c>
    </row>
    <row r="61">
      <c r="A61" s="104" t="n"/>
      <c r="B61" s="5" t="inlineStr">
        <is>
          <t>3.修改成功或者失败后，应该有相应的信息提示</t>
        </is>
      </c>
    </row>
    <row r="62" ht="25.5" customHeight="1" s="84">
      <c r="A62" s="76" t="inlineStr">
        <is>
          <t>9.查询操作测试用例（CX）</t>
        </is>
      </c>
      <c r="B62" s="86" t="n"/>
    </row>
    <row r="63" ht="25.5" customHeight="1" s="84">
      <c r="A63" s="76" t="inlineStr">
        <is>
          <t>该用例库主要针对查询操作</t>
        </is>
      </c>
      <c r="B63" s="5" t="inlineStr">
        <is>
          <t>1.条件输入查询，先进行条件输入框的“输入验证”</t>
        </is>
      </c>
    </row>
    <row r="64" ht="28.8" customHeight="1" s="84">
      <c r="A64" s="103" t="n"/>
      <c r="B64" s="5" t="inlineStr">
        <is>
          <t>2.条件组合查询，将多个条件进行组合查询，结果可以通过数据库验证。需要注意的是，整个数据查询和条件查询数据结果条数要一致。另外，如果遇到某天的查询时间段，有的数据库认为一天不包括零点零分，有的数据库认为包括</t>
        </is>
      </c>
    </row>
    <row r="65" ht="18.75" customHeight="1" s="84">
      <c r="A65" s="103" t="n"/>
      <c r="B65" s="5" t="inlineStr">
        <is>
          <t>3.所有查询结果，必须进行一定顺序的排列。可以按照ID或按照名次来排列</t>
        </is>
      </c>
    </row>
    <row r="66" ht="18.75" customHeight="1" s="84">
      <c r="A66" s="104" t="n"/>
      <c r="B66" s="5" t="inlineStr">
        <is>
          <t>4.当查询成功或者失败后，系统应给出必要的信息提示</t>
        </is>
      </c>
    </row>
    <row r="67" ht="25.5" customHeight="1" s="84">
      <c r="A67" s="76" t="inlineStr">
        <is>
          <t>10.翻页操作测试用例（FY）</t>
        </is>
      </c>
      <c r="B67" s="86" t="n"/>
    </row>
    <row r="68" ht="21.75" customHeight="1" s="84">
      <c r="A68" s="76" t="inlineStr">
        <is>
          <t>该用例库主要针对翻页操作</t>
        </is>
      </c>
      <c r="B68" s="5" t="inlineStr">
        <is>
          <t>1.当数据量很大的时候，需要进行分页显示，每页显示的行数最好不要超过20行，每页列表上最好有序号标识，行与行之间颜色要有一定区分，这样有利于用户的查找</t>
        </is>
      </c>
    </row>
    <row r="69" ht="21.75" customHeight="1" s="84">
      <c r="A69" s="103" t="n"/>
      <c r="B69" s="5" t="inlineStr">
        <is>
          <t>2.翻页按钮应该包括：首页、前一页、后一页、尾页、当前X页、共X页，这些常用按钮显示，并且按钮都能正常翻页</t>
        </is>
      </c>
    </row>
    <row r="70" ht="21.75" customHeight="1" s="84">
      <c r="A70" s="103" t="n"/>
      <c r="B70" s="5" t="inlineStr">
        <is>
          <t>3.翻页的每页显示的数据要准确，确保没有查不出来的数据。最好的做法就是和数据库结合起来验证</t>
        </is>
      </c>
    </row>
    <row r="71" ht="21.75" customHeight="1" s="84">
      <c r="A71" s="103" t="n"/>
      <c r="B71" s="5" t="inlineStr">
        <is>
          <t>4.页面太多，翻页数字不能全部显示时，系统应该有完善的应对机制，比如只显示当前页的前三页和该页的后三页的页数码</t>
        </is>
      </c>
    </row>
    <row r="72" ht="21.75" customHeight="1" s="84">
      <c r="A72" s="104" t="n"/>
      <c r="B72" s="5" t="inlineStr">
        <is>
          <t>5.当翻到某页时，系统应该有明显的标识，标出该页面所处的页码</t>
        </is>
      </c>
    </row>
    <row r="73" ht="25.5" customHeight="1" s="84">
      <c r="A73" s="76" t="inlineStr">
        <is>
          <t>11.错误页面测试（CW）</t>
        </is>
      </c>
      <c r="B73" s="86" t="n"/>
    </row>
    <row r="74" ht="38.25" customHeight="1" s="84">
      <c r="A74" s="76" t="inlineStr">
        <is>
          <t>错误页面是在遇到系统异常的情况下产生的友好页面</t>
        </is>
      </c>
      <c r="B74" s="5" t="inlineStr">
        <is>
          <t>1.当系统遇到致命错误时，不能将服务器的调试信息出现在页面上，因为这样做会带来不安全。应该给出一个合适的提示信息</t>
        </is>
      </c>
    </row>
    <row r="75" ht="28.5" customHeight="1" s="84">
      <c r="A75" s="104" t="n"/>
      <c r="B75" s="5" t="inlineStr">
        <is>
          <t>2.由于系统繁忙，无法及时给出正确信息时，系统可以给出友好的错误页面，如“请用户稍后再试”等提示信息</t>
        </is>
      </c>
    </row>
    <row r="77" ht="22.5" customHeight="1" s="84">
      <c r="A77" s="75" t="inlineStr">
        <is>
          <t>单元测试用例常用测试项</t>
        </is>
      </c>
      <c r="B77" s="86" t="n"/>
    </row>
    <row r="78" ht="22.5" customHeight="1" s="84">
      <c r="A78" s="5" t="inlineStr">
        <is>
          <t>1.DAL层类功能验证</t>
        </is>
      </c>
      <c r="B78" s="5" t="n"/>
    </row>
    <row r="79" ht="28.8" customHeight="1" s="84">
      <c r="A79" s="5" t="inlineStr">
        <is>
          <t>验证数据库访问层方法是否正确</t>
        </is>
      </c>
      <c r="B79" s="5" t="inlineStr">
        <is>
          <t>1.DAL类的查询验证</t>
        </is>
      </c>
    </row>
    <row r="80" ht="20.25" customHeight="1" s="84">
      <c r="A80" s="5" t="n"/>
      <c r="B80" s="5" t="inlineStr">
        <is>
          <t>2.DAL类的新增验证</t>
        </is>
      </c>
    </row>
    <row r="81" ht="20.25" customHeight="1" s="84">
      <c r="A81" s="5" t="n"/>
      <c r="B81" s="5" t="inlineStr">
        <is>
          <t>3.DAL类的修改验证</t>
        </is>
      </c>
    </row>
    <row r="82" ht="20.25" customHeight="1" s="84">
      <c r="A82" s="5" t="n"/>
      <c r="B82" s="5" t="inlineStr">
        <is>
          <t>4.DAL类的删除验证</t>
        </is>
      </c>
    </row>
    <row r="83" ht="27.75" customHeight="1" s="84">
      <c r="A83" s="5" t="inlineStr">
        <is>
          <t>2.BLL复杂业务逻辑验证</t>
        </is>
      </c>
      <c r="B83" s="5" t="n"/>
    </row>
    <row r="84" ht="40.5" customHeight="1" s="84">
      <c r="A84" s="5" t="inlineStr">
        <is>
          <t>对于复杂的BLL业务逻辑类进行验证</t>
        </is>
      </c>
      <c r="B84" s="5" t="inlineStr">
        <is>
          <t>1.正常参数下的BLL业务逻辑是否正确</t>
        </is>
      </c>
    </row>
    <row r="85" ht="18" customHeight="1" s="84">
      <c r="A85" s="5" t="n"/>
      <c r="B85" s="5" t="inlineStr">
        <is>
          <t>2.边界值的参数下的BLL业务逻辑是否正确</t>
        </is>
      </c>
    </row>
    <row r="87" ht="22.5" customHeight="1" s="84">
      <c r="A87" s="75" t="inlineStr">
        <is>
          <t>安装测试用例常用测试项（测试环境前提是必须有一台仅安装操作系统的“干净”机器）</t>
        </is>
      </c>
      <c r="B87" s="85" t="n"/>
      <c r="C87" s="86" t="n"/>
    </row>
    <row r="88" ht="22.5" customHeight="1" s="84">
      <c r="A88" s="76" t="inlineStr">
        <is>
          <t>1.安装验证</t>
        </is>
      </c>
      <c r="B88" s="85" t="n"/>
      <c r="C88" s="86" t="n"/>
    </row>
    <row r="89" ht="20.25" customHeight="1" s="84">
      <c r="A89" s="76" t="inlineStr">
        <is>
          <t>安装验证包括正常情况下的验证、异常情况下的验证、重复安装验证、安装后功能验证、取消安装验证</t>
        </is>
      </c>
      <c r="B89" s="5" t="inlineStr">
        <is>
          <t>1.常情况下安装验证</t>
        </is>
      </c>
      <c r="C89" s="5" t="inlineStr">
        <is>
          <t>进行首次安装、升级、完整的或自定义的安装，系统能够正常进行安装</t>
        </is>
      </c>
    </row>
    <row r="90" ht="20.25" customHeight="1" s="84">
      <c r="A90" s="103" t="n"/>
      <c r="B90" s="5" t="inlineStr">
        <is>
          <t>2.异常情况下安装验证</t>
        </is>
      </c>
      <c r="C90" s="5" t="inlineStr">
        <is>
          <t>异常情况包括磁盘空间不足、缺少目录创建权限等。检查安装中是否有提示信息</t>
        </is>
      </c>
    </row>
    <row r="91" ht="20.25" customHeight="1" s="84">
      <c r="A91" s="103" t="n"/>
      <c r="B91" s="5" t="inlineStr">
        <is>
          <t>3.重复安装验证</t>
        </is>
      </c>
      <c r="C91" s="5" t="inlineStr">
        <is>
          <t>在已经安装过的机器上进行重复安装，检查是否有系统提示</t>
        </is>
      </c>
    </row>
    <row r="92" ht="20.25" customHeight="1" s="84">
      <c r="A92" s="103" t="n"/>
      <c r="B92" s="5" t="inlineStr">
        <is>
          <t>4.安装后功能验证</t>
        </is>
      </c>
      <c r="C92" s="5" t="inlineStr">
        <is>
          <t>检查软件在安装后是否可立即正常运行</t>
        </is>
      </c>
    </row>
    <row r="93" ht="20.25" customHeight="1" s="84">
      <c r="A93" s="103" t="n"/>
      <c r="B93" s="5" t="inlineStr">
        <is>
          <t>5.取消安装验证</t>
        </is>
      </c>
      <c r="C93" s="5" t="inlineStr">
        <is>
          <t>在安装过程中选择取消安装，检查是否可以停止安装，退出安装程序</t>
        </is>
      </c>
    </row>
    <row r="94" ht="67.5" customHeight="1" s="84">
      <c r="A94" s="103" t="n"/>
      <c r="B94" s="5" t="inlineStr">
        <is>
          <t>6.安装路径验证</t>
        </is>
      </c>
      <c r="C94" s="5" t="inlineStr">
        <is>
          <t>在安装界面上选择被测对象安装位置路径。检查：
（1）是否能够被正常安装到制定路径下
（2）当路径中含有中文或者空格时，系统能否被正确安装，安装后系统能够正常运行</t>
        </is>
      </c>
    </row>
    <row r="95" ht="33" customHeight="1" s="84">
      <c r="A95" s="104" t="n"/>
      <c r="B95" s="5" t="inlineStr">
        <is>
          <t>7.序列号验证</t>
        </is>
      </c>
      <c r="C95" s="5" t="inlineStr">
        <is>
          <t>在安装过程中对序列号进行验证，当输入不正确的序列号或者输入为空时，系统要阻止进一步的安装操作</t>
        </is>
      </c>
    </row>
    <row r="96" ht="27.75" customHeight="1" s="84">
      <c r="A96" s="76" t="inlineStr">
        <is>
          <t>2.卸载验证</t>
        </is>
      </c>
      <c r="B96" s="85" t="n"/>
      <c r="C96" s="86" t="n"/>
    </row>
    <row r="97" ht="40.5" customHeight="1" s="84">
      <c r="A97" s="76" t="inlineStr">
        <is>
          <t>卸载验证包括完全卸载验证和部分卸载验证</t>
        </is>
      </c>
      <c r="B97" s="5" t="inlineStr">
        <is>
          <t>1.完全卸载验证</t>
        </is>
      </c>
      <c r="C97" s="5" t="inlineStr">
        <is>
          <t>进行卸载程序，检查是否能够成功卸载。安装文件夹及以下的文件是否全部删除</t>
        </is>
      </c>
    </row>
    <row r="98" ht="18" customHeight="1" s="84">
      <c r="A98" s="103" t="n"/>
      <c r="B98" s="5" t="inlineStr">
        <is>
          <t>2.部分卸载验证</t>
        </is>
      </c>
      <c r="C98" s="5" t="inlineStr">
        <is>
          <t>选择要进行卸载的部件和应用程序，运行卸载程序，检查是否能够成功卸载</t>
        </is>
      </c>
    </row>
    <row r="99" ht="72" customHeight="1" s="84">
      <c r="A99" s="104" t="n"/>
      <c r="B99" s="5" t="inlineStr">
        <is>
          <t>3.系统占用验证</t>
        </is>
      </c>
      <c r="C99" s="5" t="inlineStr">
        <is>
          <t>在被测对象资源被占用（某项功能被打开。某项服务器没有停止）的情况下，进行卸载操作。首先要查看系统有无这方面的处理信息；然后在按照相应处理信息后，查看安装的路径下是否还存在原有的安装文件，检查菜单、任务栏中是否还有没有卸载干净的资源</t>
        </is>
      </c>
    </row>
    <row r="101" ht="30.75" customHeight="1" s="84">
      <c r="A101" s="75" t="inlineStr">
        <is>
          <t>界面测试用例常用测试项（YM）</t>
        </is>
      </c>
      <c r="B101" s="85" t="n"/>
      <c r="C101" s="86" t="n"/>
    </row>
    <row r="102" ht="23.25" customHeight="1" s="84">
      <c r="A102" s="76" t="inlineStr">
        <is>
          <t>一致性验证（YZXYZ）</t>
        </is>
      </c>
      <c r="B102" s="85" t="n"/>
      <c r="C102" s="86" t="n"/>
    </row>
    <row r="103" ht="21" customHeight="1" s="84">
      <c r="A103" s="83" t="inlineStr">
        <is>
          <t>该用例对整体风格、窗体、按钮、输入框等界面元素进行验证</t>
        </is>
      </c>
      <c r="B103" s="5" t="inlineStr">
        <is>
          <t>1.整体风格一致性验证</t>
        </is>
      </c>
      <c r="C103" s="5" t="inlineStr">
        <is>
          <t>查看平台中所有的用户界面，所有的界面风格是否统一，内容显示是否正确、美观、友好、无乱、错页、变形、错别字等</t>
        </is>
      </c>
    </row>
    <row r="104" ht="29.25" customHeight="1" s="84">
      <c r="A104" s="103" t="n"/>
      <c r="B104" s="5" t="inlineStr">
        <is>
          <t>2.窗体一致性验证</t>
        </is>
      </c>
      <c r="C104" s="5" t="inlineStr">
        <is>
          <t>查看每个页面窗体显示是否一致，有无混乱或显示不完全、不统一的页面出现。例如，菜单、大小、位置、状态和中心、图片的大小是否都符合标准。注意：测试过程中需要调整浏览器的大小金星不同像素的验证</t>
        </is>
      </c>
    </row>
    <row r="105" ht="24" customHeight="1" s="84">
      <c r="A105" s="103" t="n"/>
      <c r="B105" s="5" t="inlineStr">
        <is>
          <t>3.按钮一致性验证</t>
        </is>
      </c>
      <c r="C105" s="5" t="inlineStr">
        <is>
          <t>检查按钮图片和链接，按钮图片大小风格是否一致，点击按钮是否有效</t>
        </is>
      </c>
    </row>
    <row r="106" ht="24" customHeight="1" s="84">
      <c r="A106" s="103" t="n"/>
      <c r="B106" s="5" t="inlineStr">
        <is>
          <t>4.输入框一致性验证</t>
        </is>
      </c>
      <c r="C106" s="5" t="inlineStr">
        <is>
          <t>检查输入框大小风格，输入框高等是否一致，风格是否统一</t>
        </is>
      </c>
    </row>
    <row r="107" ht="24" customHeight="1" s="84">
      <c r="A107" s="103" t="n"/>
      <c r="B107" s="5" t="inlineStr">
        <is>
          <t>5.访问方法使用验证</t>
        </is>
      </c>
      <c r="C107" s="5" t="inlineStr">
        <is>
          <t>检查访问方法（Tab键、鼠标移动和快捷键）的使用</t>
        </is>
      </c>
    </row>
    <row r="108" ht="24" customHeight="1" s="84">
      <c r="A108" s="104" t="n"/>
      <c r="B108" s="5" t="inlineStr">
        <is>
          <t>6.页面链接验证</t>
        </is>
      </c>
      <c r="C108" s="5" t="inlineStr">
        <is>
          <t>每一个链接是否都有对应的页面，并切面之间切换正确</t>
        </is>
      </c>
    </row>
    <row r="109" ht="26.25" customHeight="1" s="84">
      <c r="A109" s="76" t="inlineStr">
        <is>
          <t>图形验证（TXYZ）</t>
        </is>
      </c>
      <c r="B109" s="85" t="n"/>
      <c r="C109" s="86" t="n"/>
    </row>
    <row r="110" ht="21.75" customHeight="1" s="84">
      <c r="A110" s="76" t="inlineStr">
        <is>
          <t>验证流程图形、图标</t>
        </is>
      </c>
      <c r="B110" s="5" t="inlineStr">
        <is>
          <t>1.流程图形元素验证</t>
        </is>
      </c>
      <c r="C110" s="5" t="inlineStr">
        <is>
          <t>查看流程图形是否可以正确显示，没有歧义</t>
        </is>
      </c>
    </row>
    <row r="111" ht="24.75" customHeight="1" s="84">
      <c r="A111" s="104" t="n"/>
      <c r="B111" s="5" t="inlineStr">
        <is>
          <t>2.图标验证</t>
        </is>
      </c>
      <c r="C111" s="5" t="inlineStr">
        <is>
          <t>查看图标显示是否正确，没有歧义并且友好显示</t>
        </is>
      </c>
    </row>
    <row r="112" ht="28.5" customHeight="1" s="84">
      <c r="A112" s="81" t="inlineStr">
        <is>
          <t>文字验证（WZYZ）</t>
        </is>
      </c>
      <c r="B112" s="85" t="n"/>
      <c r="C112" s="85" t="n"/>
    </row>
    <row r="113" ht="22.5" customHeight="1" s="84">
      <c r="A113" s="76" t="inlineStr">
        <is>
          <t>该用例库进行文字使用、字体字号、颜色等方面的验证</t>
        </is>
      </c>
      <c r="B113" s="5" t="inlineStr">
        <is>
          <t>1.文字使用验证</t>
        </is>
      </c>
      <c r="C113" s="5" t="inlineStr">
        <is>
          <t>查看文字使用是否恰当，有无歧义，有无错别字</t>
        </is>
      </c>
    </row>
    <row r="114" ht="22.5" customHeight="1" s="84">
      <c r="A114" s="103" t="n"/>
      <c r="B114" s="5" t="inlineStr">
        <is>
          <t>2.字体字号验证</t>
        </is>
      </c>
      <c r="C114" s="5" t="inlineStr">
        <is>
          <t>检查各个页面中的字体字号显示是否一致</t>
        </is>
      </c>
    </row>
    <row r="115" ht="22.5" customHeight="1" s="84">
      <c r="A115" s="103" t="n"/>
      <c r="B115" s="5" t="inlineStr">
        <is>
          <t>3.文字颜色验证</t>
        </is>
      </c>
      <c r="C115" s="5" t="inlineStr">
        <is>
          <t>查看文字使用颜色是否一致</t>
        </is>
      </c>
    </row>
    <row r="116" ht="22.5" customHeight="1" s="84">
      <c r="A116" s="104" t="n"/>
      <c r="B116" s="5" t="inlineStr">
        <is>
          <t>4.提示文字验证</t>
        </is>
      </c>
      <c r="C116" s="5" t="inlineStr">
        <is>
          <t>检查中文版的提示文字是否为中文，英文版的提示文字是否为英文</t>
        </is>
      </c>
    </row>
    <row r="117" ht="27" customHeight="1" s="84">
      <c r="A117" s="76" t="inlineStr">
        <is>
          <t>浏览器兼容验证（LLQJRYZ）</t>
        </is>
      </c>
      <c r="B117" s="85" t="n"/>
      <c r="C117" s="86" t="n"/>
    </row>
    <row r="118" ht="20.25" customHeight="1" s="84">
      <c r="A118" s="76" t="inlineStr">
        <is>
          <t>对浏览器、脚本的兼容性进行验证</t>
        </is>
      </c>
      <c r="B118" s="5" t="inlineStr">
        <is>
          <t>1.浏览器兼容性验证</t>
        </is>
      </c>
      <c r="C118" s="5" t="inlineStr">
        <is>
          <t>分布查看在IE5.5、IE6.0、IE6.0+SP1、FirFox等常用浏览器上功能运行是否正常，界面显示是否正常，风格是否一致</t>
        </is>
      </c>
    </row>
    <row r="119" ht="20.25" customHeight="1" s="84">
      <c r="A119" s="104" t="n"/>
      <c r="B119" s="5" t="inlineStr">
        <is>
          <t>2.Script脚本验证</t>
        </is>
      </c>
      <c r="C119" s="5" t="inlineStr">
        <is>
          <t>由于不同浏览器对Script脚本支持不同，所以需要再不同浏览器上进行Script脚本验证</t>
        </is>
      </c>
    </row>
    <row r="120" ht="27" customHeight="1" s="84">
      <c r="A120" s="76" t="inlineStr">
        <is>
          <t>操作验证（CZYZ）</t>
        </is>
      </c>
      <c r="B120" s="85" t="n"/>
      <c r="C120" s="86" t="n"/>
    </row>
    <row r="121" ht="26.25" customHeight="1" s="84">
      <c r="A121" s="76" t="inlineStr">
        <is>
          <t>功能说明：根据测试需求选择测试用例</t>
        </is>
      </c>
      <c r="B121" s="5" t="inlineStr">
        <is>
          <t>1.界面元素的状态验证</t>
        </is>
      </c>
      <c r="C121" s="5" t="inlineStr">
        <is>
          <t>检查界面元素的状态是否正确（如有效、无效、选中等状态）</t>
        </is>
      </c>
    </row>
    <row r="122" ht="26.25" customHeight="1" s="84">
      <c r="A122" s="103" t="n"/>
      <c r="B122" s="5" t="inlineStr">
        <is>
          <t>2.键盘操作验证</t>
        </is>
      </c>
      <c r="C122" s="5" t="inlineStr">
        <is>
          <t>检查界面元素是否支持键盘操作</t>
        </is>
      </c>
    </row>
    <row r="123" ht="26.25" customHeight="1" s="84">
      <c r="A123" s="103" t="n"/>
      <c r="B123" s="5" t="inlineStr">
        <is>
          <t>3.鼠标操作验证</t>
        </is>
      </c>
      <c r="C123" s="5" t="inlineStr">
        <is>
          <t>检查界面元素是否支持鼠标操作</t>
        </is>
      </c>
    </row>
    <row r="124" ht="26.25" customHeight="1" s="84">
      <c r="A124" s="103" t="n"/>
      <c r="B124" s="5" t="inlineStr">
        <is>
          <t>4.缺省焦点验证</t>
        </is>
      </c>
      <c r="C124" s="5" t="inlineStr">
        <is>
          <t>检查对话框中的缺省焦点是否正确</t>
        </is>
      </c>
    </row>
    <row r="125" ht="26.25" customHeight="1" s="84">
      <c r="A125" s="103" t="n"/>
      <c r="B125" s="5" t="inlineStr">
        <is>
          <t>5.数据项回显验证</t>
        </is>
      </c>
      <c r="C125" s="5" t="inlineStr">
        <is>
          <t>检查数据项是否能正确回显</t>
        </is>
      </c>
    </row>
    <row r="126" ht="26.25" customHeight="1" s="84">
      <c r="A126" s="103" t="n"/>
      <c r="B126" s="5" t="inlineStr">
        <is>
          <t>6.常用功能验证</t>
        </is>
      </c>
      <c r="C126" s="5" t="inlineStr">
        <is>
          <t>对于常用的功能，用户能否不必阅读手册就能使用</t>
        </is>
      </c>
    </row>
    <row r="127" ht="26.25" customHeight="1" s="84">
      <c r="A127" s="103" t="n"/>
      <c r="B127" s="5" t="inlineStr">
        <is>
          <t>7.风险操作提示验证</t>
        </is>
      </c>
      <c r="C127" s="5" t="inlineStr">
        <is>
          <t>执行有风险的操作时，检查是否有“确认”、“放弃”等提示</t>
        </is>
      </c>
    </row>
    <row r="128" ht="26.25" customHeight="1" s="84">
      <c r="A128" s="103" t="n"/>
      <c r="B128" s="5" t="inlineStr">
        <is>
          <t>8.操作顺序验证</t>
        </is>
      </c>
      <c r="C128" s="5" t="inlineStr">
        <is>
          <t>检查操作顺序是否合理</t>
        </is>
      </c>
    </row>
    <row r="129" ht="26.25" customHeight="1" s="84">
      <c r="A129" s="103" t="n"/>
      <c r="B129" s="5" t="inlineStr">
        <is>
          <t>9.按钮排列验证</t>
        </is>
      </c>
      <c r="C129" s="5" t="inlineStr">
        <is>
          <t>检查按钮是否合理</t>
        </is>
      </c>
    </row>
    <row r="130" ht="26.25" customHeight="1" s="84">
      <c r="A130" s="103" t="n"/>
      <c r="B130" s="5" t="inlineStr">
        <is>
          <t>10.导航帮助验证</t>
        </is>
      </c>
      <c r="C130" s="5" t="inlineStr">
        <is>
          <t>检查导航帮助是否明确</t>
        </is>
      </c>
    </row>
    <row r="131" ht="26.25" customHeight="1" s="84">
      <c r="A131" s="104" t="n"/>
      <c r="B131" s="5" t="inlineStr">
        <is>
          <t>11.提示信息规范验证</t>
        </is>
      </c>
      <c r="C131" s="5" t="inlineStr">
        <is>
          <t>检查提示信息是否规范</t>
        </is>
      </c>
    </row>
    <row r="133" ht="30.75" customHeight="1" s="84">
      <c r="A133" s="75" t="inlineStr">
        <is>
          <t>压力测试用例常用测试项</t>
        </is>
      </c>
      <c r="B133" s="85" t="n"/>
      <c r="C133" s="86" t="n"/>
    </row>
    <row r="134" ht="23.25" customHeight="1" s="84">
      <c r="A134" s="76" t="inlineStr">
        <is>
          <t>低压负载</t>
        </is>
      </c>
      <c r="B134" s="85" t="n"/>
      <c r="C134" s="86" t="n"/>
    </row>
    <row r="135" ht="21" customHeight="1" s="84">
      <c r="A135" s="83" t="inlineStr">
        <is>
          <t>模拟50个用户在线并且同一个功能的并发操作不超过10个</t>
        </is>
      </c>
      <c r="B135" s="5" t="inlineStr">
        <is>
          <t>1.页面响应时间</t>
        </is>
      </c>
      <c r="C135" s="5" t="inlineStr">
        <is>
          <t>页面响应时间小于6秒</t>
        </is>
      </c>
    </row>
    <row r="136" ht="29.25" customHeight="1" s="84">
      <c r="A136" s="104" t="n"/>
      <c r="B136" s="5" t="inlineStr">
        <is>
          <t>2.事务通过率</t>
        </is>
      </c>
      <c r="C136" s="6" t="n">
        <v>1</v>
      </c>
    </row>
    <row r="137" ht="26.25" customHeight="1" s="84">
      <c r="A137" s="76" t="inlineStr">
        <is>
          <t>增量负载</t>
        </is>
      </c>
      <c r="B137" s="85" t="n"/>
      <c r="C137" s="86" t="n"/>
    </row>
    <row r="138" ht="21.75" customHeight="1" s="84">
      <c r="A138" s="83" t="inlineStr">
        <is>
          <t>模拟200个用户在线逐步登录系统并且执行相关操作。</t>
        </is>
      </c>
      <c r="B138" s="5" t="inlineStr">
        <is>
          <t>1.定义功能瓶颈值</t>
        </is>
      </c>
      <c r="C138" s="5" t="inlineStr">
        <is>
          <t>查看流程图形是否可以正确显示，没有歧义</t>
        </is>
      </c>
    </row>
    <row r="139" ht="49.5" customHeight="1" s="84">
      <c r="A139" s="104" t="n"/>
      <c r="B139" s="5" t="inlineStr">
        <is>
          <t>2.定义最大支持在线人数</t>
        </is>
      </c>
      <c r="C139" s="5" t="inlineStr">
        <is>
          <t>查看图标显示是否正确，没有歧义并且友好显示</t>
        </is>
      </c>
    </row>
    <row r="140" ht="28.5" customHeight="1" s="84">
      <c r="A140" s="81" t="inlineStr">
        <is>
          <t>高压负载</t>
        </is>
      </c>
      <c r="B140" s="85" t="n"/>
      <c r="C140" s="85" t="n"/>
    </row>
    <row r="141" ht="21" customHeight="1" s="84">
      <c r="A141" s="83" t="inlineStr">
        <is>
          <t>模拟500个用户在线并且同一个功能的并发操作不超过50个</t>
        </is>
      </c>
      <c r="B141" s="5" t="inlineStr">
        <is>
          <t>1.页面响应时间</t>
        </is>
      </c>
      <c r="C141" s="5" t="inlineStr">
        <is>
          <t>页面响应时间小于20秒</t>
        </is>
      </c>
    </row>
    <row r="142" ht="29.25" customHeight="1" s="84">
      <c r="A142" s="104" t="n"/>
      <c r="B142" s="5" t="inlineStr">
        <is>
          <t>2.事务通过率</t>
        </is>
      </c>
      <c r="C142" s="6" t="n">
        <v>0.95</v>
      </c>
    </row>
  </sheetData>
  <mergeCells count="47">
    <mergeCell ref="A137:C137"/>
    <mergeCell ref="A110:A111"/>
    <mergeCell ref="A133:C133"/>
    <mergeCell ref="A73:B73"/>
    <mergeCell ref="A11:B11"/>
    <mergeCell ref="A138:A139"/>
    <mergeCell ref="A120:C120"/>
    <mergeCell ref="A89:A95"/>
    <mergeCell ref="A101:C101"/>
    <mergeCell ref="A47:A51"/>
    <mergeCell ref="A97:A99"/>
    <mergeCell ref="A103:A108"/>
    <mergeCell ref="A118:A119"/>
    <mergeCell ref="A59:A61"/>
    <mergeCell ref="A68:A72"/>
    <mergeCell ref="A74:A75"/>
    <mergeCell ref="A53:A57"/>
    <mergeCell ref="A25:B25"/>
    <mergeCell ref="A12:A24"/>
    <mergeCell ref="A26:A34"/>
    <mergeCell ref="A46:B46"/>
    <mergeCell ref="A135:A136"/>
    <mergeCell ref="A140:C140"/>
    <mergeCell ref="A109:C109"/>
    <mergeCell ref="A3:B3"/>
    <mergeCell ref="A96:C96"/>
    <mergeCell ref="A36:A38"/>
    <mergeCell ref="A134:C134"/>
    <mergeCell ref="A112:C112"/>
    <mergeCell ref="A141:A142"/>
    <mergeCell ref="A102:C102"/>
    <mergeCell ref="A117:C117"/>
    <mergeCell ref="A113:A116"/>
    <mergeCell ref="A121:A131"/>
    <mergeCell ref="A63:A66"/>
    <mergeCell ref="A35:B35"/>
    <mergeCell ref="A62:B62"/>
    <mergeCell ref="A52:B52"/>
    <mergeCell ref="A10:B10"/>
    <mergeCell ref="A88:C88"/>
    <mergeCell ref="A44:B44"/>
    <mergeCell ref="A39:B39"/>
    <mergeCell ref="A87:C87"/>
    <mergeCell ref="A67:B67"/>
    <mergeCell ref="A58:B58"/>
    <mergeCell ref="A77:B77"/>
    <mergeCell ref="A40:A43"/>
  </mergeCells>
  <hyperlinks>
    <hyperlink ref="A4" location="功能测试用例常用测试项" display="功能测试"/>
    <hyperlink ref="A5" location="单元测试用例常用测试项" display="单元测试"/>
    <hyperlink ref="A6" location="安装测试用例常用测试项" display="部署测试"/>
    <hyperlink ref="A7" location="界面测试用例常用测试项" display="界面测试"/>
    <hyperlink ref="A8" location="压力测试用例常用测试项" display="压力测试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water</dc:creator>
  <dcterms:created xmlns:dcterms="http://purl.org/dc/terms/" xmlns:xsi="http://www.w3.org/2001/XMLSchema-instance" xsi:type="dcterms:W3CDTF">2012-04-21T07:17:30Z</dcterms:created>
  <dcterms:modified xmlns:dcterms="http://purl.org/dc/terms/" xmlns:xsi="http://www.w3.org/2001/XMLSchema-instance" xsi:type="dcterms:W3CDTF">2026-06-30T02:13:00Z</dcterms:modified>
  <cp:lastModifiedBy>剑桥 孙</cp:lastModifiedBy>
  <cp:revision>1</cp:revision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2052-10.1.0.6554</vt:lpwstr>
  </property>
</Properties>
</file>